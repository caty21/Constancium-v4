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ug\Documents\Constancium\"/>
    </mc:Choice>
  </mc:AlternateContent>
  <xr:revisionPtr revIDLastSave="0" documentId="8_{C82B756C-BC2B-4C81-AE4B-B95099C4A6C9}" xr6:coauthVersionLast="47" xr6:coauthVersionMax="47" xr10:uidLastSave="{00000000-0000-0000-0000-000000000000}"/>
  <bookViews>
    <workbookView xWindow="-28920" yWindow="4245" windowWidth="29040" windowHeight="15720" xr2:uid="{F6E7BBE4-355F-4744-98D1-E879991A821A}"/>
  </bookViews>
  <sheets>
    <sheet name="SCPI avec pret" sheetId="2" r:id="rId1"/>
    <sheet name="Feuil1" sheetId="1" r:id="rId2"/>
  </sheets>
  <externalReferences>
    <externalReference r:id="rId3"/>
  </externalReferences>
  <definedNames>
    <definedName name="__IntlFixup" hidden="1">TRUE</definedName>
    <definedName name="Duree_Emprunt">[1]Amort!$C$16</definedName>
    <definedName name="_xlnm.Print_Titles" localSheetId="0">'SCPI avec pret'!$1:$1</definedName>
    <definedName name="Mensualité_LMNP">[1]Amort!$C$18</definedName>
    <definedName name="Montant_Finance_Neuf">[1]Amort!$C$8</definedName>
    <definedName name="NbDeci">2</definedName>
    <definedName name="Rentabilite_Amort">IF([1]Résultats!$B$8=TRUE,OFFSET([1]Amort!$V$3,,,[1]Résultats!$C$1),0)</definedName>
    <definedName name="Rentabilite_Amort_Bouvard">IF([1]Résultats!$B$10=TRUE,OFFSET('[1]Amort+Bouvard'!$W$3,,,[1]Résultats!$C$1),0)</definedName>
    <definedName name="Rentabilite_Ancien">IF([1]Résultats!$B$7=TRUE,OFFSET([1]Ancien!$W$3,,,[1]Résultats!$C$1),0)</definedName>
    <definedName name="Rentabilite_Ancien_en_Amort">IF([1]Résultats!$B$11=TRUE,OFFSET([1]Ancien_en_Amort!$V$3,,,[1]Résultats!$C$1),0)</definedName>
    <definedName name="Rentabilite_Ancien_en_Amort2">IF([1]Résultats!$B$12=TRUE,OFFSET('[1]Ancien_en_Amort+2nd_Amort'!$W$3,,,[1]Résultats!$C$1),0)</definedName>
    <definedName name="Rentabilite_Bouvard">IF([1]Résultats!$B$9=TRUE,OFFSET([1]Bouvard!$W$3,,,[1]Résultats!$C$1),0)</definedName>
    <definedName name="Rentabilite_Duflot">IF([1]Résultats!$B$5=TRUE,OFFSET([1]Duflot!$W$3,,,[1]Résultats!$C$1),0)</definedName>
    <definedName name="Rentabilite_SCPI" localSheetId="0">IF([1]Résultats!$B$6=TRUE,OFFSET('SCPI avec pret'!$AC$5,,,[1]Résultats!$C$1),0)</definedName>
    <definedName name="Rentabilite_SCPI">IF([1]Résultats!$B$6=TRUE,OFFSET('[1]ANCIEN TEST'!$Y$3,,,[1]Résultats!$C$1),0)</definedName>
    <definedName name="Taux_Interet_Annuel">[1]Amort!$C$14</definedName>
    <definedName name="Treso_Amort">IF([1]Résultats!$B$8=TRUE,OFFSET([1]Amort!$X$3,,,[1]Résultats!$C$1),0)</definedName>
    <definedName name="Treso_Amort_Bouvard">IF([1]Résultats!$B$10=TRUE,OFFSET('[1]Amort+Bouvard'!$Y$3,,,[1]Résultats!$C$1),0)</definedName>
    <definedName name="Treso_Ancien">IF([1]Résultats!$B$7=TRUE,OFFSET([1]Ancien!$Y$3,,,[1]Résultats!$C$1),0)</definedName>
    <definedName name="Treso_Ancien_en_Amort">IF([1]Résultats!$B$11=TRUE,OFFSET([1]Ancien_en_Amort!$X$3,,,[1]Résultats!$C$1),0)</definedName>
    <definedName name="Treso_Ancien_en_Amort2">IF([1]Résultats!$B$12=TRUE,OFFSET('[1]Ancien_en_Amort+2nd_Amort'!$Y$3,,,[1]Résultats!$C$1),0)</definedName>
    <definedName name="Treso_Bouvard">IF([1]Résultats!$B$9=TRUE,OFFSET([1]Bouvard!$Y$3,,,[1]Résultats!$C$1),0)</definedName>
    <definedName name="Treso_Duflot">IF([1]Résultats!$B$5=TRUE,OFFSET([1]Duflot!$Y$3,,,[1]Résultats!$C$1),0)</definedName>
    <definedName name="Treso_SCPI" localSheetId="0">IF([1]Résultats!$B$6=TRUE,OFFSET('SCPI avec pret'!$AE$5,,,[1]Résultats!$C$1),0)</definedName>
    <definedName name="Treso_SCPI">IF([1]Résultats!$B$6=TRUE,OFFSET('[1]ANCIEN TEST'!$AA$3,,,[1]Résultats!$C$1),0)</definedName>
    <definedName name="_xlnm.Print_Area" localSheetId="0">'SCPI avec pret'!$A$1:$AE$37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7" i="2" l="1"/>
  <c r="E33" i="2"/>
  <c r="E31" i="2"/>
  <c r="D30" i="2"/>
  <c r="B30" i="2"/>
  <c r="B29" i="2"/>
  <c r="C25" i="2"/>
  <c r="B23" i="2"/>
  <c r="C11" i="2"/>
  <c r="B10" i="2"/>
  <c r="C8" i="2"/>
  <c r="AG7" i="2"/>
  <c r="R7" i="2"/>
  <c r="P7" i="2"/>
  <c r="M7" i="2"/>
  <c r="J7" i="2"/>
  <c r="N6" i="2"/>
  <c r="L6" i="2"/>
  <c r="L7" i="2" s="1"/>
  <c r="J6" i="2"/>
  <c r="AG5" i="2"/>
  <c r="AG6" i="2" s="1"/>
  <c r="R5" i="2"/>
  <c r="P5" i="2"/>
  <c r="N5" i="2"/>
  <c r="L5" i="2"/>
  <c r="C5" i="2"/>
  <c r="C6" i="2" s="1"/>
  <c r="J1" i="2"/>
  <c r="N7" i="2" l="1"/>
  <c r="O7" i="2" s="1"/>
  <c r="J8" i="2"/>
  <c r="B17" i="2"/>
  <c r="M5" i="2"/>
  <c r="O5" i="2" s="1"/>
  <c r="B18" i="2"/>
  <c r="L8" i="2"/>
  <c r="P6" i="2"/>
  <c r="R6" i="2"/>
  <c r="B31" i="2"/>
  <c r="M6" i="2"/>
  <c r="O6" i="2" s="1"/>
  <c r="T7" i="2" l="1"/>
  <c r="S7" i="2"/>
  <c r="AB5" i="2"/>
  <c r="K5" i="2"/>
  <c r="S5" i="2"/>
  <c r="T5" i="2"/>
  <c r="T6" i="2"/>
  <c r="S6" i="2"/>
  <c r="K6" i="2"/>
  <c r="AI43" i="2"/>
  <c r="AI34" i="2"/>
  <c r="AI26" i="2"/>
  <c r="AI17" i="2"/>
  <c r="AI54" i="2"/>
  <c r="AI53" i="2"/>
  <c r="AI41" i="2"/>
  <c r="AI30" i="2"/>
  <c r="AI16" i="2"/>
  <c r="AI6" i="2"/>
  <c r="AI40" i="2"/>
  <c r="AI19" i="2"/>
  <c r="AI15" i="2"/>
  <c r="AI13" i="2"/>
  <c r="AI51" i="2"/>
  <c r="AI44" i="2"/>
  <c r="AI20" i="2"/>
  <c r="AI18" i="2"/>
  <c r="AI37" i="2"/>
  <c r="B36" i="2"/>
  <c r="AI24" i="2"/>
  <c r="AI11" i="2"/>
  <c r="AI48" i="2"/>
  <c r="AI46" i="2"/>
  <c r="AI36" i="2"/>
  <c r="AI25" i="2"/>
  <c r="AI9" i="2"/>
  <c r="AI52" i="2"/>
  <c r="AI35" i="2"/>
  <c r="AI23" i="2"/>
  <c r="AI8" i="2"/>
  <c r="AI14" i="2"/>
  <c r="AI33" i="2"/>
  <c r="AI29" i="2"/>
  <c r="AI22" i="2"/>
  <c r="AI32" i="2"/>
  <c r="AI12" i="2"/>
  <c r="AI5" i="2"/>
  <c r="AJ5" i="2" s="1"/>
  <c r="AJ6" i="2" s="1"/>
  <c r="AJ7" i="2" s="1"/>
  <c r="AJ8" i="2" s="1"/>
  <c r="AI42" i="2"/>
  <c r="AI10" i="2"/>
  <c r="AI47" i="2"/>
  <c r="AI27" i="2"/>
  <c r="AI7" i="2"/>
  <c r="AI49" i="2"/>
  <c r="AI21" i="2"/>
  <c r="AI45" i="2"/>
  <c r="AI50" i="2"/>
  <c r="AI38" i="2"/>
  <c r="AI28" i="2"/>
  <c r="AI31" i="2"/>
  <c r="AI39" i="2"/>
  <c r="N8" i="2"/>
  <c r="K8" i="2"/>
  <c r="J9" i="2"/>
  <c r="M8" i="2"/>
  <c r="O8" i="2" s="1"/>
  <c r="T8" i="2" s="1"/>
  <c r="AG8" i="2"/>
  <c r="AB8" i="2"/>
  <c r="AB7" i="2"/>
  <c r="R8" i="2"/>
  <c r="P8" i="2"/>
  <c r="L9" i="2"/>
  <c r="K7" i="2"/>
  <c r="AB6" i="2"/>
  <c r="AJ9" i="2" l="1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J27" i="2" s="1"/>
  <c r="AJ28" i="2" s="1"/>
  <c r="AJ29" i="2" s="1"/>
  <c r="AJ30" i="2" s="1"/>
  <c r="AJ31" i="2" s="1"/>
  <c r="AJ32" i="2" s="1"/>
  <c r="AJ33" i="2" s="1"/>
  <c r="AJ34" i="2" s="1"/>
  <c r="AJ35" i="2" s="1"/>
  <c r="AJ36" i="2" s="1"/>
  <c r="AJ37" i="2" s="1"/>
  <c r="AJ38" i="2" s="1"/>
  <c r="AJ39" i="2" s="1"/>
  <c r="AJ40" i="2" s="1"/>
  <c r="AJ41" i="2" s="1"/>
  <c r="AJ42" i="2" s="1"/>
  <c r="AJ43" i="2" s="1"/>
  <c r="AJ44" i="2" s="1"/>
  <c r="AJ45" i="2" s="1"/>
  <c r="AJ46" i="2" s="1"/>
  <c r="AJ47" i="2" s="1"/>
  <c r="AJ48" i="2" s="1"/>
  <c r="AJ49" i="2" s="1"/>
  <c r="AJ50" i="2" s="1"/>
  <c r="AJ51" i="2" s="1"/>
  <c r="AJ52" i="2" s="1"/>
  <c r="AJ53" i="2" s="1"/>
  <c r="AJ54" i="2" s="1"/>
  <c r="R9" i="2"/>
  <c r="P9" i="2"/>
  <c r="L10" i="2"/>
  <c r="S8" i="2"/>
  <c r="V6" i="2"/>
  <c r="Y6" i="2"/>
  <c r="X6" i="2"/>
  <c r="N9" i="2"/>
  <c r="M9" i="2"/>
  <c r="O9" i="2" s="1"/>
  <c r="T9" i="2" s="1"/>
  <c r="K9" i="2"/>
  <c r="AG9" i="2"/>
  <c r="AB9" i="2"/>
  <c r="J10" i="2"/>
  <c r="X5" i="2"/>
  <c r="U5" i="2"/>
  <c r="W5" i="2" s="1"/>
  <c r="U6" i="2" s="1"/>
  <c r="W6" i="2" s="1"/>
  <c r="U7" i="2" s="1"/>
  <c r="W7" i="2" s="1"/>
  <c r="U8" i="2" s="1"/>
  <c r="Y5" i="2"/>
  <c r="V5" i="2"/>
  <c r="Y7" i="2"/>
  <c r="V7" i="2"/>
  <c r="X7" i="2"/>
  <c r="M10" i="2" l="1"/>
  <c r="AG10" i="2"/>
  <c r="J11" i="2"/>
  <c r="N10" i="2"/>
  <c r="K10" i="2"/>
  <c r="AB10" i="2"/>
  <c r="AC7" i="2"/>
  <c r="AA7" i="2"/>
  <c r="AD7" i="2" s="1"/>
  <c r="AE7" i="2" s="1"/>
  <c r="S9" i="2"/>
  <c r="AA6" i="2"/>
  <c r="AD6" i="2" s="1"/>
  <c r="AE6" i="2" s="1"/>
  <c r="AC6" i="2"/>
  <c r="R10" i="2"/>
  <c r="L11" i="2"/>
  <c r="P10" i="2"/>
  <c r="AC5" i="2"/>
  <c r="AA5" i="2"/>
  <c r="AD5" i="2" s="1"/>
  <c r="Y8" i="2"/>
  <c r="V8" i="2"/>
  <c r="W8" i="2" s="1"/>
  <c r="U9" i="2" s="1"/>
  <c r="X8" i="2"/>
  <c r="M11" i="2" l="1"/>
  <c r="J12" i="2"/>
  <c r="K11" i="2"/>
  <c r="AG11" i="2"/>
  <c r="N11" i="2"/>
  <c r="AB11" i="2"/>
  <c r="L12" i="2"/>
  <c r="R11" i="2"/>
  <c r="P11" i="2"/>
  <c r="Y9" i="2"/>
  <c r="V9" i="2"/>
  <c r="X9" i="2" s="1"/>
  <c r="AC8" i="2"/>
  <c r="AA8" i="2"/>
  <c r="AD8" i="2" s="1"/>
  <c r="AE8" i="2" s="1"/>
  <c r="O10" i="2"/>
  <c r="AF5" i="2"/>
  <c r="AF6" i="2" s="1"/>
  <c r="AF7" i="2" s="1"/>
  <c r="AF8" i="2" s="1"/>
  <c r="AH5" i="2"/>
  <c r="AE5" i="2"/>
  <c r="T10" i="2" l="1"/>
  <c r="S10" i="2"/>
  <c r="P12" i="2"/>
  <c r="L13" i="2"/>
  <c r="R12" i="2"/>
  <c r="AA9" i="2"/>
  <c r="AD9" i="2" s="1"/>
  <c r="AE9" i="2" s="1"/>
  <c r="AC9" i="2"/>
  <c r="M12" i="2"/>
  <c r="O12" i="2" s="1"/>
  <c r="T12" i="2" s="1"/>
  <c r="AG12" i="2"/>
  <c r="N12" i="2"/>
  <c r="K12" i="2"/>
  <c r="AB12" i="2"/>
  <c r="J13" i="2"/>
  <c r="O11" i="2"/>
  <c r="W9" i="2"/>
  <c r="S12" i="2" l="1"/>
  <c r="T11" i="2"/>
  <c r="S11" i="2"/>
  <c r="J14" i="2"/>
  <c r="K13" i="2"/>
  <c r="N13" i="2"/>
  <c r="M13" i="2"/>
  <c r="O13" i="2" s="1"/>
  <c r="T13" i="2" s="1"/>
  <c r="AG13" i="2"/>
  <c r="AB13" i="2"/>
  <c r="Y10" i="2"/>
  <c r="U10" i="2"/>
  <c r="P13" i="2"/>
  <c r="L14" i="2"/>
  <c r="S13" i="2"/>
  <c r="R13" i="2"/>
  <c r="AF9" i="2"/>
  <c r="Y13" i="2" l="1"/>
  <c r="R14" i="2"/>
  <c r="P14" i="2"/>
  <c r="S14" i="2"/>
  <c r="L15" i="2"/>
  <c r="W10" i="2"/>
  <c r="J15" i="2"/>
  <c r="AG14" i="2"/>
  <c r="N14" i="2"/>
  <c r="M14" i="2"/>
  <c r="O14" i="2" s="1"/>
  <c r="T14" i="2" s="1"/>
  <c r="K14" i="2"/>
  <c r="AB14" i="2"/>
  <c r="V10" i="2"/>
  <c r="X10" i="2" s="1"/>
  <c r="Y11" i="2"/>
  <c r="AC10" i="2"/>
  <c r="AA10" i="2"/>
  <c r="AD10" i="2" s="1"/>
  <c r="AE10" i="2" s="1"/>
  <c r="U11" i="2"/>
  <c r="Y12" i="2"/>
  <c r="AB15" i="2" l="1"/>
  <c r="J16" i="2"/>
  <c r="N15" i="2"/>
  <c r="M15" i="2"/>
  <c r="O15" i="2" s="1"/>
  <c r="T15" i="2" s="1"/>
  <c r="AG15" i="2"/>
  <c r="K15" i="2"/>
  <c r="L16" i="2"/>
  <c r="S15" i="2"/>
  <c r="R15" i="2"/>
  <c r="P15" i="2"/>
  <c r="V11" i="2"/>
  <c r="X11" i="2" s="1"/>
  <c r="AC11" i="2"/>
  <c r="AA11" i="2"/>
  <c r="AD11" i="2" s="1"/>
  <c r="AE11" i="2" s="1"/>
  <c r="Y14" i="2"/>
  <c r="AF10" i="2"/>
  <c r="AF11" i="2" s="1"/>
  <c r="AC12" i="2"/>
  <c r="AA12" i="2"/>
  <c r="AD12" i="2" s="1"/>
  <c r="AE12" i="2" s="1"/>
  <c r="AC13" i="2"/>
  <c r="AA13" i="2"/>
  <c r="AD13" i="2" s="1"/>
  <c r="AE13" i="2" s="1"/>
  <c r="AF12" i="2" l="1"/>
  <c r="AF13" i="2" s="1"/>
  <c r="AF14" i="2" s="1"/>
  <c r="AA14" i="2"/>
  <c r="AD14" i="2" s="1"/>
  <c r="AE14" i="2" s="1"/>
  <c r="AC14" i="2"/>
  <c r="Y15" i="2"/>
  <c r="L17" i="2"/>
  <c r="R16" i="2"/>
  <c r="P16" i="2"/>
  <c r="W11" i="2"/>
  <c r="U12" i="2" s="1"/>
  <c r="K16" i="2"/>
  <c r="AB16" i="2"/>
  <c r="AG16" i="2"/>
  <c r="N16" i="2"/>
  <c r="J17" i="2"/>
  <c r="M16" i="2"/>
  <c r="O16" i="2" s="1"/>
  <c r="T16" i="2" s="1"/>
  <c r="AG17" i="2" l="1"/>
  <c r="N17" i="2"/>
  <c r="AB17" i="2"/>
  <c r="J18" i="2"/>
  <c r="M17" i="2"/>
  <c r="O17" i="2" s="1"/>
  <c r="T17" i="2" s="1"/>
  <c r="K17" i="2"/>
  <c r="L18" i="2"/>
  <c r="R17" i="2"/>
  <c r="P17" i="2"/>
  <c r="AC15" i="2"/>
  <c r="AA15" i="2"/>
  <c r="AD15" i="2" s="1"/>
  <c r="AE15" i="2" s="1"/>
  <c r="V12" i="2"/>
  <c r="X12" i="2" s="1"/>
  <c r="S16" i="2"/>
  <c r="AF15" i="2"/>
  <c r="AG18" i="2" l="1"/>
  <c r="N18" i="2"/>
  <c r="J19" i="2"/>
  <c r="M18" i="2"/>
  <c r="O18" i="2" s="1"/>
  <c r="T18" i="2" s="1"/>
  <c r="AB18" i="2"/>
  <c r="K18" i="2"/>
  <c r="Y16" i="2"/>
  <c r="S17" i="2"/>
  <c r="W12" i="2"/>
  <c r="U13" i="2" s="1"/>
  <c r="R18" i="2"/>
  <c r="P18" i="2"/>
  <c r="L19" i="2"/>
  <c r="P19" i="2" l="1"/>
  <c r="R19" i="2"/>
  <c r="L20" i="2"/>
  <c r="S18" i="2"/>
  <c r="J20" i="2"/>
  <c r="AB19" i="2"/>
  <c r="AG19" i="2"/>
  <c r="M19" i="2"/>
  <c r="O19" i="2" s="1"/>
  <c r="T19" i="2" s="1"/>
  <c r="N19" i="2"/>
  <c r="K19" i="2"/>
  <c r="V13" i="2"/>
  <c r="X13" i="2" s="1"/>
  <c r="Y17" i="2"/>
  <c r="AA16" i="2"/>
  <c r="AD16" i="2" s="1"/>
  <c r="AC16" i="2"/>
  <c r="J21" i="2" l="1"/>
  <c r="N20" i="2"/>
  <c r="M20" i="2"/>
  <c r="AG20" i="2"/>
  <c r="AB20" i="2"/>
  <c r="K20" i="2"/>
  <c r="AE16" i="2"/>
  <c r="AF16" i="2"/>
  <c r="Y18" i="2"/>
  <c r="AA17" i="2"/>
  <c r="AD17" i="2" s="1"/>
  <c r="AE17" i="2" s="1"/>
  <c r="AC17" i="2"/>
  <c r="R20" i="2"/>
  <c r="P20" i="2"/>
  <c r="L21" i="2"/>
  <c r="W13" i="2"/>
  <c r="U14" i="2" s="1"/>
  <c r="S19" i="2"/>
  <c r="Y19" i="2" l="1"/>
  <c r="AF17" i="2"/>
  <c r="P21" i="2"/>
  <c r="L22" i="2"/>
  <c r="R21" i="2"/>
  <c r="O20" i="2"/>
  <c r="AA18" i="2"/>
  <c r="AD18" i="2" s="1"/>
  <c r="AE18" i="2" s="1"/>
  <c r="AC18" i="2"/>
  <c r="V14" i="2"/>
  <c r="X14" i="2" s="1"/>
  <c r="AB21" i="2"/>
  <c r="N21" i="2"/>
  <c r="M21" i="2"/>
  <c r="O21" i="2" s="1"/>
  <c r="T21" i="2" s="1"/>
  <c r="K21" i="2"/>
  <c r="J22" i="2"/>
  <c r="AG21" i="2"/>
  <c r="T20" i="2" l="1"/>
  <c r="S20" i="2"/>
  <c r="M22" i="2"/>
  <c r="N22" i="2"/>
  <c r="B27" i="2" s="1"/>
  <c r="J23" i="2"/>
  <c r="K22" i="2"/>
  <c r="AG22" i="2"/>
  <c r="AB22" i="2"/>
  <c r="AF18" i="2"/>
  <c r="AF19" i="2" s="1"/>
  <c r="AC19" i="2"/>
  <c r="AA19" i="2"/>
  <c r="AD19" i="2" s="1"/>
  <c r="AE19" i="2" s="1"/>
  <c r="W14" i="2"/>
  <c r="U15" i="2" s="1"/>
  <c r="S21" i="2"/>
  <c r="P22" i="2"/>
  <c r="L23" i="2"/>
  <c r="R22" i="2"/>
  <c r="M23" i="2" l="1"/>
  <c r="J24" i="2"/>
  <c r="K23" i="2"/>
  <c r="AB23" i="2"/>
  <c r="N23" i="2"/>
  <c r="AG23" i="2"/>
  <c r="V15" i="2"/>
  <c r="X15" i="2" s="1"/>
  <c r="O22" i="2"/>
  <c r="L24" i="2"/>
  <c r="P23" i="2"/>
  <c r="R23" i="2"/>
  <c r="Y20" i="2"/>
  <c r="Y21" i="2"/>
  <c r="W15" i="2" l="1"/>
  <c r="U16" i="2" s="1"/>
  <c r="AA21" i="2"/>
  <c r="AD21" i="2" s="1"/>
  <c r="AE21" i="2" s="1"/>
  <c r="AC21" i="2"/>
  <c r="AA20" i="2"/>
  <c r="AD20" i="2" s="1"/>
  <c r="AC20" i="2"/>
  <c r="J25" i="2"/>
  <c r="N24" i="2"/>
  <c r="M24" i="2"/>
  <c r="O24" i="2" s="1"/>
  <c r="T24" i="2" s="1"/>
  <c r="AG24" i="2"/>
  <c r="K24" i="2"/>
  <c r="AB24" i="2"/>
  <c r="O23" i="2"/>
  <c r="R24" i="2"/>
  <c r="L25" i="2"/>
  <c r="P24" i="2"/>
  <c r="T22" i="2"/>
  <c r="S22" i="2"/>
  <c r="Y22" i="2" l="1"/>
  <c r="M25" i="2"/>
  <c r="K25" i="2"/>
  <c r="N25" i="2"/>
  <c r="AB25" i="2"/>
  <c r="AG25" i="2"/>
  <c r="J26" i="2"/>
  <c r="L26" i="2"/>
  <c r="R25" i="2"/>
  <c r="P25" i="2"/>
  <c r="S24" i="2"/>
  <c r="AE20" i="2"/>
  <c r="AF20" i="2"/>
  <c r="AF21" i="2" s="1"/>
  <c r="T23" i="2"/>
  <c r="S23" i="2"/>
  <c r="V16" i="2"/>
  <c r="X16" i="2" s="1"/>
  <c r="Y23" i="2" l="1"/>
  <c r="Y24" i="2"/>
  <c r="O25" i="2"/>
  <c r="P26" i="2"/>
  <c r="R26" i="2"/>
  <c r="L27" i="2"/>
  <c r="W16" i="2"/>
  <c r="U17" i="2" s="1"/>
  <c r="AA22" i="2"/>
  <c r="AD22" i="2" s="1"/>
  <c r="AE22" i="2" s="1"/>
  <c r="AC22" i="2"/>
  <c r="AF22" i="2"/>
  <c r="AG26" i="2"/>
  <c r="N26" i="2"/>
  <c r="J27" i="2"/>
  <c r="AB26" i="2"/>
  <c r="K26" i="2"/>
  <c r="M26" i="2"/>
  <c r="T25" i="2" l="1"/>
  <c r="S25" i="2"/>
  <c r="V17" i="2"/>
  <c r="X17" i="2" s="1"/>
  <c r="R27" i="2"/>
  <c r="P27" i="2"/>
  <c r="L28" i="2"/>
  <c r="AG27" i="2"/>
  <c r="M27" i="2"/>
  <c r="K27" i="2"/>
  <c r="AB27" i="2"/>
  <c r="N27" i="2"/>
  <c r="J28" i="2"/>
  <c r="AA24" i="2"/>
  <c r="AD24" i="2" s="1"/>
  <c r="AE24" i="2" s="1"/>
  <c r="AC24" i="2"/>
  <c r="O26" i="2"/>
  <c r="AA23" i="2"/>
  <c r="AD23" i="2" s="1"/>
  <c r="AE23" i="2" s="1"/>
  <c r="AC23" i="2"/>
  <c r="R28" i="2" l="1"/>
  <c r="P28" i="2"/>
  <c r="L29" i="2"/>
  <c r="T26" i="2"/>
  <c r="S26" i="2"/>
  <c r="J29" i="2"/>
  <c r="N28" i="2"/>
  <c r="M28" i="2"/>
  <c r="O28" i="2" s="1"/>
  <c r="T28" i="2" s="1"/>
  <c r="AB28" i="2"/>
  <c r="AG28" i="2"/>
  <c r="K28" i="2"/>
  <c r="W17" i="2"/>
  <c r="U18" i="2" s="1"/>
  <c r="AF23" i="2"/>
  <c r="AF24" i="2" s="1"/>
  <c r="Y25" i="2"/>
  <c r="O27" i="2"/>
  <c r="T27" i="2" l="1"/>
  <c r="S27" i="2"/>
  <c r="Y26" i="2"/>
  <c r="AC25" i="2"/>
  <c r="AA25" i="2"/>
  <c r="AD25" i="2" s="1"/>
  <c r="AE25" i="2" s="1"/>
  <c r="L30" i="2"/>
  <c r="R29" i="2"/>
  <c r="P29" i="2"/>
  <c r="V18" i="2"/>
  <c r="X18" i="2" s="1"/>
  <c r="S28" i="2"/>
  <c r="M29" i="2"/>
  <c r="AG29" i="2"/>
  <c r="N29" i="2"/>
  <c r="K29" i="2"/>
  <c r="J30" i="2"/>
  <c r="AB29" i="2"/>
  <c r="P30" i="2" l="1"/>
  <c r="L31" i="2"/>
  <c r="R30" i="2"/>
  <c r="O29" i="2"/>
  <c r="Y28" i="2"/>
  <c r="W18" i="2"/>
  <c r="U19" i="2" s="1"/>
  <c r="AC26" i="2"/>
  <c r="AA26" i="2"/>
  <c r="AD26" i="2" s="1"/>
  <c r="AE26" i="2" s="1"/>
  <c r="K30" i="2"/>
  <c r="AB30" i="2"/>
  <c r="AG30" i="2"/>
  <c r="M30" i="2"/>
  <c r="N30" i="2"/>
  <c r="J31" i="2"/>
  <c r="AF25" i="2"/>
  <c r="Y27" i="2"/>
  <c r="W19" i="2" l="1"/>
  <c r="U20" i="2" s="1"/>
  <c r="V19" i="2"/>
  <c r="X19" i="2" s="1"/>
  <c r="AC27" i="2"/>
  <c r="AA27" i="2"/>
  <c r="AD27" i="2" s="1"/>
  <c r="AE27" i="2" s="1"/>
  <c r="AF26" i="2"/>
  <c r="AF27" i="2" s="1"/>
  <c r="AA28" i="2"/>
  <c r="AD28" i="2" s="1"/>
  <c r="AE28" i="2" s="1"/>
  <c r="AC28" i="2"/>
  <c r="M31" i="2"/>
  <c r="K31" i="2"/>
  <c r="AB31" i="2"/>
  <c r="AG31" i="2"/>
  <c r="N31" i="2"/>
  <c r="J32" i="2"/>
  <c r="T29" i="2"/>
  <c r="S29" i="2"/>
  <c r="O30" i="2"/>
  <c r="L32" i="2"/>
  <c r="R31" i="2"/>
  <c r="P31" i="2"/>
  <c r="W20" i="2" l="1"/>
  <c r="U21" i="2" s="1"/>
  <c r="V20" i="2"/>
  <c r="X20" i="2" s="1"/>
  <c r="R32" i="2"/>
  <c r="L33" i="2"/>
  <c r="P32" i="2"/>
  <c r="O31" i="2"/>
  <c r="T30" i="2"/>
  <c r="S30" i="2"/>
  <c r="AF28" i="2"/>
  <c r="Y29" i="2"/>
  <c r="N32" i="2"/>
  <c r="AB32" i="2"/>
  <c r="M32" i="2"/>
  <c r="O32" i="2" s="1"/>
  <c r="T32" i="2" s="1"/>
  <c r="AG32" i="2"/>
  <c r="K32" i="2"/>
  <c r="J33" i="2"/>
  <c r="S32" i="2" l="1"/>
  <c r="AC29" i="2"/>
  <c r="AA29" i="2"/>
  <c r="AD29" i="2" s="1"/>
  <c r="AE29" i="2" s="1"/>
  <c r="M33" i="2"/>
  <c r="O33" i="2" s="1"/>
  <c r="T33" i="2" s="1"/>
  <c r="K33" i="2"/>
  <c r="N33" i="2"/>
  <c r="J34" i="2"/>
  <c r="AG33" i="2"/>
  <c r="AB33" i="2"/>
  <c r="T31" i="2"/>
  <c r="S31" i="2"/>
  <c r="P33" i="2"/>
  <c r="L34" i="2"/>
  <c r="R33" i="2"/>
  <c r="W21" i="2"/>
  <c r="U22" i="2" s="1"/>
  <c r="V21" i="2"/>
  <c r="X21" i="2" s="1"/>
  <c r="Y30" i="2"/>
  <c r="Y32" i="2" l="1"/>
  <c r="Y31" i="2"/>
  <c r="S33" i="2"/>
  <c r="P34" i="2"/>
  <c r="L35" i="2"/>
  <c r="R34" i="2"/>
  <c r="AC30" i="2"/>
  <c r="AA30" i="2"/>
  <c r="AD30" i="2" s="1"/>
  <c r="AE30" i="2" s="1"/>
  <c r="V22" i="2"/>
  <c r="X22" i="2" s="1"/>
  <c r="AG34" i="2"/>
  <c r="N34" i="2"/>
  <c r="AB34" i="2"/>
  <c r="J35" i="2"/>
  <c r="M34" i="2"/>
  <c r="K34" i="2"/>
  <c r="AF29" i="2"/>
  <c r="Y33" i="2" l="1"/>
  <c r="AC31" i="2"/>
  <c r="AA31" i="2"/>
  <c r="AD31" i="2" s="1"/>
  <c r="AE31" i="2" s="1"/>
  <c r="R35" i="2"/>
  <c r="P35" i="2"/>
  <c r="L36" i="2"/>
  <c r="W22" i="2"/>
  <c r="U23" i="2" s="1"/>
  <c r="AF30" i="2"/>
  <c r="O34" i="2"/>
  <c r="AG35" i="2"/>
  <c r="AJ4" i="2" s="1"/>
  <c r="AH6" i="2" s="1"/>
  <c r="J36" i="2"/>
  <c r="K35" i="2"/>
  <c r="AB35" i="2"/>
  <c r="N35" i="2"/>
  <c r="M35" i="2"/>
  <c r="O35" i="2" s="1"/>
  <c r="T35" i="2" s="1"/>
  <c r="AC32" i="2"/>
  <c r="AA32" i="2"/>
  <c r="AD32" i="2" s="1"/>
  <c r="AE32" i="2" s="1"/>
  <c r="S35" i="2" l="1"/>
  <c r="R36" i="2"/>
  <c r="P36" i="2"/>
  <c r="L37" i="2"/>
  <c r="S36" i="2"/>
  <c r="J37" i="2"/>
  <c r="AB36" i="2"/>
  <c r="K36" i="2"/>
  <c r="AG36" i="2"/>
  <c r="N36" i="2"/>
  <c r="M36" i="2"/>
  <c r="O36" i="2" s="1"/>
  <c r="T36" i="2" s="1"/>
  <c r="AF31" i="2"/>
  <c r="AF32" i="2" s="1"/>
  <c r="AH7" i="2"/>
  <c r="AH8" i="2" s="1"/>
  <c r="AH9" i="2" s="1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52" i="2" s="1"/>
  <c r="AH53" i="2" s="1"/>
  <c r="AH54" i="2" s="1"/>
  <c r="T34" i="2"/>
  <c r="S34" i="2"/>
  <c r="AC33" i="2"/>
  <c r="AA33" i="2"/>
  <c r="AD33" i="2" s="1"/>
  <c r="AE33" i="2" s="1"/>
  <c r="W23" i="2"/>
  <c r="U24" i="2" s="1"/>
  <c r="V23" i="2"/>
  <c r="X23" i="2" s="1"/>
  <c r="W24" i="2" l="1"/>
  <c r="U25" i="2" s="1"/>
  <c r="V24" i="2"/>
  <c r="X24" i="2" s="1"/>
  <c r="M37" i="2"/>
  <c r="AB37" i="2"/>
  <c r="J38" i="2"/>
  <c r="N37" i="2"/>
  <c r="AG37" i="2"/>
  <c r="K37" i="2"/>
  <c r="Y34" i="2"/>
  <c r="Y36" i="2"/>
  <c r="AC36" i="2" s="1"/>
  <c r="L38" i="2"/>
  <c r="R37" i="2"/>
  <c r="P37" i="2"/>
  <c r="AA36" i="2"/>
  <c r="AD36" i="2" s="1"/>
  <c r="AE36" i="2" s="1"/>
  <c r="AF33" i="2"/>
  <c r="Y35" i="2"/>
  <c r="AA34" i="2" l="1"/>
  <c r="AD34" i="2" s="1"/>
  <c r="AE34" i="2" s="1"/>
  <c r="AC34" i="2"/>
  <c r="AB38" i="2"/>
  <c r="N38" i="2"/>
  <c r="K38" i="2"/>
  <c r="AG38" i="2"/>
  <c r="M38" i="2"/>
  <c r="O38" i="2" s="1"/>
  <c r="T38" i="2" s="1"/>
  <c r="J39" i="2"/>
  <c r="O37" i="2"/>
  <c r="AA35" i="2"/>
  <c r="AD35" i="2" s="1"/>
  <c r="AE35" i="2" s="1"/>
  <c r="AC35" i="2"/>
  <c r="L39" i="2"/>
  <c r="P38" i="2"/>
  <c r="R38" i="2"/>
  <c r="V25" i="2"/>
  <c r="X25" i="2" s="1"/>
  <c r="AF34" i="2" l="1"/>
  <c r="AF35" i="2" s="1"/>
  <c r="AF36" i="2" s="1"/>
  <c r="M39" i="2"/>
  <c r="J40" i="2"/>
  <c r="K39" i="2"/>
  <c r="AB39" i="2"/>
  <c r="AG39" i="2"/>
  <c r="N39" i="2"/>
  <c r="W25" i="2"/>
  <c r="U26" i="2" s="1"/>
  <c r="S38" i="2"/>
  <c r="L40" i="2"/>
  <c r="P39" i="2"/>
  <c r="R39" i="2"/>
  <c r="T37" i="2"/>
  <c r="S37" i="2"/>
  <c r="AG40" i="2" l="1"/>
  <c r="M40" i="2"/>
  <c r="K40" i="2"/>
  <c r="J41" i="2"/>
  <c r="N40" i="2"/>
  <c r="AB40" i="2"/>
  <c r="Y37" i="2"/>
  <c r="O39" i="2"/>
  <c r="L41" i="2"/>
  <c r="R40" i="2"/>
  <c r="P40" i="2"/>
  <c r="Y38" i="2"/>
  <c r="W26" i="2"/>
  <c r="U27" i="2" s="1"/>
  <c r="V26" i="2"/>
  <c r="X26" i="2" s="1"/>
  <c r="J42" i="2" l="1"/>
  <c r="K41" i="2"/>
  <c r="AB41" i="2"/>
  <c r="N41" i="2"/>
  <c r="M41" i="2"/>
  <c r="O41" i="2" s="1"/>
  <c r="T41" i="2" s="1"/>
  <c r="AG41" i="2"/>
  <c r="V27" i="2"/>
  <c r="X27" i="2" s="1"/>
  <c r="AC37" i="2"/>
  <c r="AA37" i="2"/>
  <c r="AD37" i="2" s="1"/>
  <c r="AC38" i="2"/>
  <c r="AA38" i="2"/>
  <c r="AD38" i="2" s="1"/>
  <c r="AE38" i="2" s="1"/>
  <c r="L42" i="2"/>
  <c r="R41" i="2"/>
  <c r="P41" i="2"/>
  <c r="O40" i="2"/>
  <c r="T39" i="2"/>
  <c r="S39" i="2"/>
  <c r="Y39" i="2" l="1"/>
  <c r="AE37" i="2"/>
  <c r="AF37" i="2"/>
  <c r="AF38" i="2" s="1"/>
  <c r="T40" i="2"/>
  <c r="S40" i="2"/>
  <c r="W27" i="2"/>
  <c r="U28" i="2" s="1"/>
  <c r="S41" i="2"/>
  <c r="R42" i="2"/>
  <c r="P42" i="2"/>
  <c r="L43" i="2"/>
  <c r="M42" i="2"/>
  <c r="J43" i="2"/>
  <c r="AG42" i="2"/>
  <c r="N42" i="2"/>
  <c r="K42" i="2"/>
  <c r="AB42" i="2"/>
  <c r="Y41" i="2" l="1"/>
  <c r="AG43" i="2"/>
  <c r="AB43" i="2"/>
  <c r="N43" i="2"/>
  <c r="M43" i="2"/>
  <c r="O43" i="2" s="1"/>
  <c r="T43" i="2" s="1"/>
  <c r="J44" i="2"/>
  <c r="K43" i="2"/>
  <c r="W28" i="2"/>
  <c r="U29" i="2" s="1"/>
  <c r="V28" i="2"/>
  <c r="X28" i="2" s="1"/>
  <c r="Y40" i="2"/>
  <c r="O42" i="2"/>
  <c r="P43" i="2"/>
  <c r="S43" i="2" s="1"/>
  <c r="R43" i="2"/>
  <c r="L44" i="2"/>
  <c r="AF39" i="2"/>
  <c r="AC39" i="2"/>
  <c r="AA39" i="2"/>
  <c r="AD39" i="2" s="1"/>
  <c r="AE39" i="2" s="1"/>
  <c r="Y43" i="2" l="1"/>
  <c r="V29" i="2"/>
  <c r="X29" i="2" s="1"/>
  <c r="L45" i="2"/>
  <c r="R44" i="2"/>
  <c r="P44" i="2"/>
  <c r="J45" i="2"/>
  <c r="AG44" i="2"/>
  <c r="N44" i="2"/>
  <c r="M44" i="2"/>
  <c r="K44" i="2"/>
  <c r="AB44" i="2"/>
  <c r="T42" i="2"/>
  <c r="S42" i="2"/>
  <c r="AA41" i="2"/>
  <c r="AD41" i="2" s="1"/>
  <c r="AE41" i="2" s="1"/>
  <c r="AC41" i="2"/>
  <c r="AC40" i="2"/>
  <c r="AA40" i="2"/>
  <c r="AD40" i="2" s="1"/>
  <c r="AE40" i="2" s="1"/>
  <c r="AG45" i="2" l="1"/>
  <c r="AB45" i="2"/>
  <c r="K45" i="2"/>
  <c r="N45" i="2"/>
  <c r="J46" i="2"/>
  <c r="M45" i="2"/>
  <c r="O45" i="2" s="1"/>
  <c r="T45" i="2" s="1"/>
  <c r="Y42" i="2"/>
  <c r="R45" i="2"/>
  <c r="S45" i="2"/>
  <c r="P45" i="2"/>
  <c r="L46" i="2"/>
  <c r="W29" i="2"/>
  <c r="U30" i="2" s="1"/>
  <c r="AF40" i="2"/>
  <c r="AF41" i="2" s="1"/>
  <c r="O44" i="2"/>
  <c r="AC43" i="2"/>
  <c r="AA43" i="2"/>
  <c r="AD43" i="2" s="1"/>
  <c r="AE43" i="2" s="1"/>
  <c r="Y45" i="2" l="1"/>
  <c r="AA42" i="2"/>
  <c r="AD42" i="2" s="1"/>
  <c r="AE42" i="2" s="1"/>
  <c r="AC42" i="2"/>
  <c r="T44" i="2"/>
  <c r="S44" i="2"/>
  <c r="AG46" i="2"/>
  <c r="M46" i="2"/>
  <c r="O46" i="2" s="1"/>
  <c r="T46" i="2" s="1"/>
  <c r="J47" i="2"/>
  <c r="N46" i="2"/>
  <c r="K46" i="2"/>
  <c r="AB46" i="2"/>
  <c r="V30" i="2"/>
  <c r="X30" i="2" s="1"/>
  <c r="AF42" i="2"/>
  <c r="AF43" i="2" s="1"/>
  <c r="P46" i="2"/>
  <c r="L47" i="2"/>
  <c r="R46" i="2"/>
  <c r="AB47" i="2" l="1"/>
  <c r="N47" i="2"/>
  <c r="M47" i="2"/>
  <c r="O47" i="2" s="1"/>
  <c r="T47" i="2" s="1"/>
  <c r="J48" i="2"/>
  <c r="AG47" i="2"/>
  <c r="K47" i="2"/>
  <c r="R47" i="2"/>
  <c r="P47" i="2"/>
  <c r="S47" i="2" s="1"/>
  <c r="L48" i="2"/>
  <c r="Y44" i="2"/>
  <c r="S46" i="2"/>
  <c r="W30" i="2"/>
  <c r="U31" i="2" s="1"/>
  <c r="AC45" i="2"/>
  <c r="AA45" i="2"/>
  <c r="AD45" i="2" s="1"/>
  <c r="AE45" i="2" s="1"/>
  <c r="Y47" i="2" l="1"/>
  <c r="AC47" i="2"/>
  <c r="Y46" i="2"/>
  <c r="AC44" i="2"/>
  <c r="AA44" i="2"/>
  <c r="AD44" i="2" s="1"/>
  <c r="AA47" i="2"/>
  <c r="AD47" i="2" s="1"/>
  <c r="AE47" i="2" s="1"/>
  <c r="V31" i="2"/>
  <c r="X31" i="2" s="1"/>
  <c r="AB48" i="2"/>
  <c r="N48" i="2"/>
  <c r="J49" i="2"/>
  <c r="M48" i="2"/>
  <c r="O48" i="2" s="1"/>
  <c r="T48" i="2" s="1"/>
  <c r="AG48" i="2"/>
  <c r="K48" i="2"/>
  <c r="P48" i="2"/>
  <c r="L49" i="2"/>
  <c r="S48" i="2"/>
  <c r="R48" i="2"/>
  <c r="W31" i="2" l="1"/>
  <c r="U32" i="2" s="1"/>
  <c r="Y48" i="2"/>
  <c r="AC48" i="2" s="1"/>
  <c r="L50" i="2"/>
  <c r="P49" i="2"/>
  <c r="R49" i="2"/>
  <c r="AE44" i="2"/>
  <c r="AF44" i="2"/>
  <c r="AF45" i="2" s="1"/>
  <c r="AF46" i="2" s="1"/>
  <c r="AF47" i="2" s="1"/>
  <c r="AA46" i="2"/>
  <c r="AD46" i="2" s="1"/>
  <c r="AE46" i="2" s="1"/>
  <c r="AC46" i="2"/>
  <c r="M49" i="2"/>
  <c r="K49" i="2"/>
  <c r="AB49" i="2"/>
  <c r="AG49" i="2"/>
  <c r="N49" i="2"/>
  <c r="J50" i="2"/>
  <c r="AB50" i="2" l="1"/>
  <c r="N50" i="2"/>
  <c r="AG50" i="2"/>
  <c r="B34" i="2" s="1"/>
  <c r="B35" i="2" s="1"/>
  <c r="J51" i="2"/>
  <c r="M50" i="2"/>
  <c r="O50" i="2" s="1"/>
  <c r="T50" i="2" s="1"/>
  <c r="K50" i="2"/>
  <c r="R50" i="2"/>
  <c r="L51" i="2"/>
  <c r="P50" i="2"/>
  <c r="O49" i="2"/>
  <c r="V32" i="2"/>
  <c r="X32" i="2" s="1"/>
  <c r="AA48" i="2"/>
  <c r="AD48" i="2" s="1"/>
  <c r="AE48" i="2" s="1"/>
  <c r="L52" i="2" l="1"/>
  <c r="P51" i="2"/>
  <c r="R51" i="2"/>
  <c r="W32" i="2"/>
  <c r="U33" i="2" s="1"/>
  <c r="M51" i="2"/>
  <c r="O51" i="2" s="1"/>
  <c r="T51" i="2" s="1"/>
  <c r="J52" i="2"/>
  <c r="K51" i="2"/>
  <c r="AG51" i="2"/>
  <c r="N51" i="2"/>
  <c r="AB51" i="2"/>
  <c r="T49" i="2"/>
  <c r="S49" i="2"/>
  <c r="S50" i="2"/>
  <c r="AF48" i="2"/>
  <c r="Y50" i="2" l="1"/>
  <c r="L53" i="2"/>
  <c r="R52" i="2"/>
  <c r="P52" i="2"/>
  <c r="AB52" i="2"/>
  <c r="J53" i="2"/>
  <c r="M52" i="2"/>
  <c r="K52" i="2"/>
  <c r="AG52" i="2"/>
  <c r="N52" i="2"/>
  <c r="V33" i="2"/>
  <c r="X33" i="2" s="1"/>
  <c r="Y49" i="2"/>
  <c r="S51" i="2"/>
  <c r="AC49" i="2" l="1"/>
  <c r="AA49" i="2"/>
  <c r="AD49" i="2" s="1"/>
  <c r="W33" i="2"/>
  <c r="U34" i="2" s="1"/>
  <c r="R53" i="2"/>
  <c r="P53" i="2"/>
  <c r="L54" i="2"/>
  <c r="AC50" i="2"/>
  <c r="AA50" i="2"/>
  <c r="AD50" i="2" s="1"/>
  <c r="AE50" i="2" s="1"/>
  <c r="Y51" i="2"/>
  <c r="O52" i="2"/>
  <c r="J54" i="2"/>
  <c r="K53" i="2"/>
  <c r="N53" i="2"/>
  <c r="AB53" i="2"/>
  <c r="AG53" i="2"/>
  <c r="M53" i="2"/>
  <c r="O53" i="2" s="1"/>
  <c r="T53" i="2" s="1"/>
  <c r="R54" i="2" l="1"/>
  <c r="P54" i="2"/>
  <c r="S53" i="2"/>
  <c r="V34" i="2"/>
  <c r="X34" i="2" s="1"/>
  <c r="AE49" i="2"/>
  <c r="AF49" i="2"/>
  <c r="AF50" i="2" s="1"/>
  <c r="AC51" i="2"/>
  <c r="AA51" i="2"/>
  <c r="AD51" i="2" s="1"/>
  <c r="AE51" i="2" s="1"/>
  <c r="AG54" i="2"/>
  <c r="K54" i="2"/>
  <c r="AB54" i="2"/>
  <c r="N54" i="2"/>
  <c r="M54" i="2"/>
  <c r="O54" i="2" s="1"/>
  <c r="T54" i="2" s="1"/>
  <c r="T52" i="2"/>
  <c r="S52" i="2"/>
  <c r="AF51" i="2" l="1"/>
  <c r="B32" i="2"/>
  <c r="W34" i="2"/>
  <c r="U35" i="2" s="1"/>
  <c r="Y53" i="2"/>
  <c r="S54" i="2"/>
  <c r="Y52" i="2"/>
  <c r="AA52" i="2" l="1"/>
  <c r="AD52" i="2" s="1"/>
  <c r="AE52" i="2" s="1"/>
  <c r="AC52" i="2"/>
  <c r="Y54" i="2"/>
  <c r="AC53" i="2"/>
  <c r="AA53" i="2"/>
  <c r="AD53" i="2" s="1"/>
  <c r="AE53" i="2" s="1"/>
  <c r="V35" i="2"/>
  <c r="X35" i="2" s="1"/>
  <c r="B33" i="2"/>
  <c r="C33" i="2"/>
  <c r="E28" i="2" s="1"/>
  <c r="E30" i="2" s="1"/>
  <c r="AF52" i="2"/>
  <c r="AF53" i="2" s="1"/>
  <c r="E34" i="2" l="1"/>
  <c r="F34" i="2" s="1"/>
  <c r="E32" i="2"/>
  <c r="W35" i="2"/>
  <c r="U36" i="2" s="1"/>
  <c r="AC54" i="2"/>
  <c r="AA54" i="2"/>
  <c r="AD54" i="2" s="1"/>
  <c r="AE54" i="2" s="1"/>
  <c r="W36" i="2" l="1"/>
  <c r="U37" i="2" s="1"/>
  <c r="V36" i="2"/>
  <c r="X36" i="2" s="1"/>
  <c r="AF54" i="2"/>
  <c r="W37" i="2" l="1"/>
  <c r="U38" i="2" s="1"/>
  <c r="V37" i="2"/>
  <c r="X37" i="2" s="1"/>
  <c r="W38" i="2" l="1"/>
  <c r="U39" i="2" s="1"/>
  <c r="V38" i="2"/>
  <c r="X38" i="2" s="1"/>
  <c r="W39" i="2" l="1"/>
  <c r="U40" i="2" s="1"/>
  <c r="V39" i="2"/>
  <c r="X39" i="2" s="1"/>
  <c r="W40" i="2" l="1"/>
  <c r="U41" i="2" s="1"/>
  <c r="V40" i="2"/>
  <c r="X40" i="2" s="1"/>
  <c r="W41" i="2" l="1"/>
  <c r="U42" i="2" s="1"/>
  <c r="V41" i="2"/>
  <c r="X41" i="2" s="1"/>
  <c r="W42" i="2" l="1"/>
  <c r="U43" i="2" s="1"/>
  <c r="V42" i="2"/>
  <c r="X42" i="2" s="1"/>
  <c r="W43" i="2" l="1"/>
  <c r="U44" i="2" s="1"/>
  <c r="V43" i="2"/>
  <c r="X43" i="2" s="1"/>
  <c r="W44" i="2" l="1"/>
  <c r="U45" i="2" s="1"/>
  <c r="V44" i="2"/>
  <c r="X44" i="2" s="1"/>
  <c r="V45" i="2" l="1"/>
  <c r="X45" i="2" s="1"/>
  <c r="W45" i="2" l="1"/>
  <c r="U46" i="2" s="1"/>
  <c r="W46" i="2" l="1"/>
  <c r="U47" i="2" s="1"/>
  <c r="V46" i="2"/>
  <c r="X46" i="2" s="1"/>
  <c r="W47" i="2" l="1"/>
  <c r="U48" i="2" s="1"/>
  <c r="V47" i="2"/>
  <c r="X47" i="2" s="1"/>
  <c r="V48" i="2" l="1"/>
  <c r="X48" i="2" s="1"/>
  <c r="W48" i="2" l="1"/>
  <c r="U49" i="2" s="1"/>
  <c r="W49" i="2" l="1"/>
  <c r="U50" i="2" s="1"/>
  <c r="V49" i="2"/>
  <c r="X49" i="2" s="1"/>
  <c r="W50" i="2" l="1"/>
  <c r="U51" i="2" s="1"/>
  <c r="V50" i="2"/>
  <c r="X50" i="2" s="1"/>
  <c r="W51" i="2" l="1"/>
  <c r="U52" i="2" s="1"/>
  <c r="V51" i="2"/>
  <c r="X51" i="2" s="1"/>
  <c r="W52" i="2" l="1"/>
  <c r="U53" i="2" s="1"/>
  <c r="V52" i="2"/>
  <c r="X52" i="2" s="1"/>
  <c r="W53" i="2" l="1"/>
  <c r="U54" i="2" s="1"/>
  <c r="V53" i="2"/>
  <c r="X53" i="2" s="1"/>
  <c r="W54" i="2" l="1"/>
  <c r="V54" i="2"/>
  <c r="X5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Sylvie</author>
  </authors>
  <commentList>
    <comment ref="B7" authorId="0" shapeId="0" xr:uid="{C69B164F-4919-403C-A319-33B12C5B2245}">
      <text>
        <r>
          <rPr>
            <b/>
            <sz val="9"/>
            <color indexed="81"/>
            <rFont val="Tahoma"/>
            <family val="2"/>
          </rPr>
          <t>Sylvie:</t>
        </r>
        <r>
          <rPr>
            <sz val="9"/>
            <color indexed="81"/>
            <rFont val="Tahoma"/>
            <family val="2"/>
          </rPr>
          <t xml:space="preserve">
"Annule" les Droits d'entrée de 10%</t>
        </r>
      </text>
    </comment>
  </commentList>
</comments>
</file>

<file path=xl/sharedStrings.xml><?xml version="1.0" encoding="utf-8"?>
<sst xmlns="http://schemas.openxmlformats.org/spreadsheetml/2006/main" count="60" uniqueCount="57">
  <si>
    <t>Hypothèses de l'investissement</t>
  </si>
  <si>
    <t>Tableau d'amortissement</t>
  </si>
  <si>
    <t xml:space="preserve">Montant </t>
  </si>
  <si>
    <t>Année</t>
  </si>
  <si>
    <t>Mensualité annuelle</t>
  </si>
  <si>
    <t>Montant dividende brut</t>
  </si>
  <si>
    <t>Intérêts</t>
  </si>
  <si>
    <t>ADI</t>
  </si>
  <si>
    <t xml:space="preserve">Intérêts + ADI </t>
  </si>
  <si>
    <t>Charges</t>
  </si>
  <si>
    <t>Abattement 30%</t>
  </si>
  <si>
    <t>Charges déductibles</t>
  </si>
  <si>
    <t>Bilan foncier</t>
  </si>
  <si>
    <t>Déficit Reportable</t>
  </si>
  <si>
    <t>Déficit Cumulé avant utilisation</t>
  </si>
  <si>
    <t>Reprise sur Réserve</t>
  </si>
  <si>
    <t>Déficit cumulé apres utilisation</t>
  </si>
  <si>
    <t>Deficit ou Benéfice imputable sur revenu global</t>
  </si>
  <si>
    <t>Impact fiscal</t>
  </si>
  <si>
    <t>Réduction fiscale</t>
  </si>
  <si>
    <t>Montant dividende net</t>
  </si>
  <si>
    <t>Rentabilité locative nette</t>
  </si>
  <si>
    <t>Effort d'épargne annuel</t>
  </si>
  <si>
    <t>Effort d'épargne mensuel</t>
  </si>
  <si>
    <t>Trésorerie Nette Annuelle cumulée</t>
  </si>
  <si>
    <t>Dividende net distribué</t>
  </si>
  <si>
    <t>Evolution valeur de la part</t>
  </si>
  <si>
    <t>Frais d'entrée (dossier bancaire + caution / nantissement + notaire)</t>
  </si>
  <si>
    <t>Apport</t>
  </si>
  <si>
    <t>Montant à financer</t>
  </si>
  <si>
    <t>Charges (Taxe Foncière + assurances + Copropriété)</t>
  </si>
  <si>
    <t>Hypothèses du financement</t>
  </si>
  <si>
    <t>Taux d'intérêt annuel</t>
  </si>
  <si>
    <t>Taux d'assurance</t>
  </si>
  <si>
    <t>Durée de l'emprunt</t>
  </si>
  <si>
    <r>
      <t xml:space="preserve">Mensualité SCPI hors assurance </t>
    </r>
    <r>
      <rPr>
        <sz val="10"/>
        <rFont val="Arial"/>
        <family val="2"/>
      </rPr>
      <t>avec différé 3 mois</t>
    </r>
  </si>
  <si>
    <r>
      <t xml:space="preserve">Mensualité SCPI avec assurance </t>
    </r>
    <r>
      <rPr>
        <sz val="10"/>
        <rFont val="Arial"/>
        <family val="2"/>
      </rPr>
      <t>avec différé 3 mois</t>
    </r>
  </si>
  <si>
    <t>Fiscalité</t>
  </si>
  <si>
    <t>TMI (Tranche Marginale d'Imposition)</t>
  </si>
  <si>
    <t>% Charges sociales</t>
  </si>
  <si>
    <t>Total</t>
  </si>
  <si>
    <t>En synthèse</t>
  </si>
  <si>
    <t xml:space="preserve">Mensualité de </t>
  </si>
  <si>
    <t xml:space="preserve">Si revente des SCPI à </t>
  </si>
  <si>
    <t xml:space="preserve">Rendement/an : </t>
  </si>
  <si>
    <t>net</t>
  </si>
  <si>
    <t>Au prix de</t>
  </si>
  <si>
    <t>Capital restant dû</t>
  </si>
  <si>
    <t>Solde suite à remboursement du crédit</t>
  </si>
  <si>
    <t>Plus Value SCPI</t>
  </si>
  <si>
    <t>Total effort d'épargne</t>
  </si>
  <si>
    <t>Bénéfice net de l'opération</t>
  </si>
  <si>
    <t>CRD</t>
  </si>
  <si>
    <t>Soit un taux de rendement interne (TRI) de</t>
  </si>
  <si>
    <t xml:space="preserve">Il faudrait placer votre effort d'épargne à un taux de </t>
  </si>
  <si>
    <t xml:space="preserve">pour obtenir un capital de </t>
  </si>
  <si>
    <t xml:space="preserve">au bout 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</si>
</sst>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#,##0\ &quot;€&quot;;\-#,##0\ &quot;€&quot;"/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0.0000"/>
    <numFmt numFmtId="165" formatCode="##&quot; ans&quot;"/>
    <numFmt numFmtId="166" formatCode="_-* #,##0\ &quot;€&quot;_-;\-* #,##0\ &quot;€&quot;_-;_-* &quot;-&quot;??\ &quot;€&quot;_-;_-@_-"/>
    <numFmt numFmtId="167" formatCode="0.000%"/>
    <numFmt numFmtId="168" formatCode="_-* #,##0\ [$€-40C]_-;\-* #,##0\ [$€-40C]_-;_-* &quot;-&quot;??\ [$€-40C]_-;_-@_-"/>
  </numFmts>
  <fonts count="25">
    <font>
      <sz val="11"/>
      <color theme="1"/>
      <name val="Calibri"/>
      <family val="2"/>
      <scheme val="minor"/>
    </font>
    <font>
      <sz val="10"/>
      <name val="Arial"/>
    </font>
    <font>
      <b/>
      <sz val="16"/>
      <color theme="1"/>
      <name val="Baskerville Old Face"/>
      <family val="1"/>
    </font>
    <font>
      <sz val="10"/>
      <color theme="0"/>
      <name val="Arial"/>
      <family val="2"/>
    </font>
    <font>
      <b/>
      <sz val="14"/>
      <color theme="0"/>
      <name val="Baskerville Old Face"/>
      <family val="1"/>
    </font>
    <font>
      <b/>
      <sz val="14"/>
      <name val="Arial"/>
      <family val="2"/>
    </font>
    <font>
      <sz val="14"/>
      <name val="Arial"/>
      <family val="2"/>
    </font>
    <font>
      <sz val="14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i/>
      <sz val="10"/>
      <color rgb="FF7030A0"/>
      <name val="Arial"/>
      <family val="2"/>
    </font>
    <font>
      <b/>
      <i/>
      <sz val="10"/>
      <color rgb="FF7030A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/>
    <xf numFmtId="14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2" fontId="5" fillId="0" borderId="0" xfId="1" applyNumberFormat="1" applyFont="1"/>
    <xf numFmtId="0" fontId="6" fillId="0" borderId="0" xfId="1" applyFont="1"/>
    <xf numFmtId="0" fontId="4" fillId="2" borderId="3" xfId="1" applyFont="1" applyFill="1" applyBorder="1" applyAlignment="1">
      <alignment horizontal="center" vertical="center"/>
    </xf>
    <xf numFmtId="0" fontId="7" fillId="0" borderId="0" xfId="1" applyFont="1"/>
    <xf numFmtId="0" fontId="8" fillId="3" borderId="1" xfId="1" applyFont="1" applyFill="1" applyBorder="1" applyAlignment="1">
      <alignment horizontal="center" vertical="center"/>
    </xf>
    <xf numFmtId="6" fontId="9" fillId="4" borderId="2" xfId="1" applyNumberFormat="1" applyFont="1" applyFill="1" applyBorder="1" applyAlignment="1" applyProtection="1">
      <alignment horizontal="center" vertical="center"/>
      <protection locked="0"/>
    </xf>
    <xf numFmtId="2" fontId="10" fillId="0" borderId="0" xfId="1" applyNumberFormat="1" applyFont="1" applyAlignment="1">
      <alignment horizontal="center"/>
    </xf>
    <xf numFmtId="0" fontId="11" fillId="2" borderId="4" xfId="1" applyFont="1" applyFill="1" applyBorder="1" applyAlignment="1">
      <alignment horizontal="center" vertical="center" wrapText="1"/>
    </xf>
    <xf numFmtId="0" fontId="11" fillId="2" borderId="5" xfId="2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 wrapText="1"/>
    </xf>
    <xf numFmtId="0" fontId="13" fillId="2" borderId="5" xfId="1" applyFont="1" applyFill="1" applyBorder="1" applyAlignment="1">
      <alignment horizontal="center" vertical="center" wrapText="1"/>
    </xf>
    <xf numFmtId="0" fontId="14" fillId="5" borderId="5" xfId="2" applyFont="1" applyFill="1" applyBorder="1" applyAlignment="1">
      <alignment horizontal="center" vertical="center" wrapText="1"/>
    </xf>
    <xf numFmtId="0" fontId="13" fillId="6" borderId="5" xfId="2" applyFont="1" applyFill="1" applyBorder="1" applyAlignment="1">
      <alignment horizontal="center" vertical="center" wrapText="1"/>
    </xf>
    <xf numFmtId="0" fontId="13" fillId="6" borderId="6" xfId="2" applyFont="1" applyFill="1" applyBorder="1" applyAlignment="1">
      <alignment horizontal="center" vertical="center" wrapText="1"/>
    </xf>
    <xf numFmtId="6" fontId="15" fillId="0" borderId="0" xfId="1" applyNumberFormat="1" applyFont="1"/>
    <xf numFmtId="0" fontId="8" fillId="0" borderId="7" xfId="1" applyFont="1" applyBorder="1" applyAlignment="1">
      <alignment horizontal="center" vertical="center"/>
    </xf>
    <xf numFmtId="10" fontId="9" fillId="4" borderId="8" xfId="1" applyNumberFormat="1" applyFont="1" applyFill="1" applyBorder="1" applyAlignment="1" applyProtection="1">
      <alignment horizontal="center" vertical="center"/>
      <protection locked="0"/>
    </xf>
    <xf numFmtId="8" fontId="1" fillId="0" borderId="0" xfId="1" applyNumberFormat="1"/>
    <xf numFmtId="0" fontId="16" fillId="0" borderId="9" xfId="1" applyFont="1" applyBorder="1" applyAlignment="1">
      <alignment horizontal="center"/>
    </xf>
    <xf numFmtId="1" fontId="16" fillId="0" borderId="10" xfId="3" applyNumberFormat="1" applyFont="1" applyBorder="1" applyAlignment="1" applyProtection="1">
      <alignment horizontal="center"/>
    </xf>
    <xf numFmtId="1" fontId="16" fillId="0" borderId="10" xfId="1" applyNumberFormat="1" applyFont="1" applyBorder="1" applyAlignment="1">
      <alignment horizontal="center"/>
    </xf>
    <xf numFmtId="0" fontId="16" fillId="0" borderId="10" xfId="1" applyFont="1" applyBorder="1" applyAlignment="1">
      <alignment horizontal="center"/>
    </xf>
    <xf numFmtId="10" fontId="17" fillId="7" borderId="10" xfId="3" applyNumberFormat="1" applyFont="1" applyFill="1" applyBorder="1" applyAlignment="1" applyProtection="1">
      <alignment horizontal="center"/>
    </xf>
    <xf numFmtId="1" fontId="17" fillId="0" borderId="10" xfId="1" applyNumberFormat="1" applyFont="1" applyBorder="1" applyAlignment="1">
      <alignment horizontal="center"/>
    </xf>
    <xf numFmtId="1" fontId="17" fillId="8" borderId="11" xfId="1" applyNumberFormat="1" applyFont="1" applyFill="1" applyBorder="1" applyAlignment="1">
      <alignment horizontal="center"/>
    </xf>
    <xf numFmtId="1" fontId="3" fillId="0" borderId="0" xfId="1" applyNumberFormat="1" applyFont="1"/>
    <xf numFmtId="1" fontId="1" fillId="0" borderId="0" xfId="1" applyNumberFormat="1"/>
    <xf numFmtId="6" fontId="1" fillId="0" borderId="0" xfId="1" applyNumberFormat="1"/>
    <xf numFmtId="164" fontId="1" fillId="0" borderId="0" xfId="1" applyNumberFormat="1"/>
    <xf numFmtId="0" fontId="12" fillId="0" borderId="7" xfId="1" applyFont="1" applyBorder="1" applyAlignment="1">
      <alignment horizontal="center"/>
    </xf>
    <xf numFmtId="10" fontId="1" fillId="4" borderId="8" xfId="1" applyNumberFormat="1" applyFill="1" applyBorder="1" applyAlignment="1" applyProtection="1">
      <alignment horizontal="center"/>
      <protection locked="0"/>
    </xf>
    <xf numFmtId="0" fontId="12" fillId="0" borderId="0" xfId="1" applyFont="1"/>
    <xf numFmtId="0" fontId="16" fillId="0" borderId="7" xfId="1" applyFont="1" applyBorder="1" applyAlignment="1">
      <alignment horizontal="center"/>
    </xf>
    <xf numFmtId="1" fontId="1" fillId="4" borderId="8" xfId="1" applyNumberFormat="1" applyFill="1" applyBorder="1" applyAlignment="1" applyProtection="1">
      <alignment horizontal="center"/>
      <protection locked="0"/>
    </xf>
    <xf numFmtId="0" fontId="15" fillId="0" borderId="7" xfId="1" applyFont="1" applyBorder="1" applyAlignment="1">
      <alignment horizontal="center"/>
    </xf>
    <xf numFmtId="6" fontId="15" fillId="0" borderId="8" xfId="1" applyNumberFormat="1" applyFont="1" applyBorder="1" applyAlignment="1">
      <alignment horizontal="center"/>
    </xf>
    <xf numFmtId="0" fontId="12" fillId="0" borderId="12" xfId="1" applyFont="1" applyBorder="1" applyAlignment="1">
      <alignment horizontal="center"/>
    </xf>
    <xf numFmtId="9" fontId="1" fillId="0" borderId="13" xfId="1" applyNumberFormat="1" applyBorder="1" applyAlignment="1">
      <alignment horizontal="center"/>
    </xf>
    <xf numFmtId="0" fontId="12" fillId="3" borderId="7" xfId="1" applyFont="1" applyFill="1" applyBorder="1" applyAlignment="1">
      <alignment horizontal="center" vertical="center" wrapText="1"/>
    </xf>
    <xf numFmtId="10" fontId="12" fillId="4" borderId="8" xfId="1" applyNumberFormat="1" applyFont="1" applyFill="1" applyBorder="1" applyAlignment="1" applyProtection="1">
      <alignment horizontal="center" vertical="center" wrapText="1"/>
      <protection locked="0"/>
    </xf>
    <xf numFmtId="0" fontId="12" fillId="4" borderId="8" xfId="1" applyFont="1" applyFill="1" applyBorder="1" applyAlignment="1" applyProtection="1">
      <alignment horizontal="center" vertical="center" wrapText="1"/>
      <protection locked="0"/>
    </xf>
    <xf numFmtId="0" fontId="15" fillId="3" borderId="7" xfId="1" applyFont="1" applyFill="1" applyBorder="1" applyAlignment="1">
      <alignment horizontal="center"/>
    </xf>
    <xf numFmtId="8" fontId="15" fillId="0" borderId="8" xfId="1" applyNumberFormat="1" applyFont="1" applyBorder="1" applyAlignment="1">
      <alignment horizontal="center"/>
    </xf>
    <xf numFmtId="0" fontId="1" fillId="9" borderId="0" xfId="1" applyFill="1"/>
    <xf numFmtId="0" fontId="15" fillId="3" borderId="12" xfId="1" applyFont="1" applyFill="1" applyBorder="1" applyAlignment="1">
      <alignment horizontal="center"/>
    </xf>
    <xf numFmtId="8" fontId="15" fillId="0" borderId="13" xfId="2" applyNumberFormat="1" applyFont="1" applyBorder="1" applyAlignment="1">
      <alignment horizontal="center"/>
    </xf>
    <xf numFmtId="0" fontId="18" fillId="3" borderId="1" xfId="1" applyFont="1" applyFill="1" applyBorder="1" applyAlignment="1">
      <alignment horizontal="center"/>
    </xf>
    <xf numFmtId="9" fontId="1" fillId="4" borderId="2" xfId="1" applyNumberFormat="1" applyFill="1" applyBorder="1" applyAlignment="1" applyProtection="1">
      <alignment horizontal="center"/>
      <protection locked="0"/>
    </xf>
    <xf numFmtId="0" fontId="16" fillId="0" borderId="0" xfId="1" applyFont="1"/>
    <xf numFmtId="0" fontId="18" fillId="3" borderId="7" xfId="1" applyFont="1" applyFill="1" applyBorder="1" applyAlignment="1">
      <alignment horizontal="center"/>
    </xf>
    <xf numFmtId="10" fontId="15" fillId="0" borderId="13" xfId="1" applyNumberFormat="1" applyFont="1" applyBorder="1" applyAlignment="1">
      <alignment horizontal="center"/>
    </xf>
    <xf numFmtId="0" fontId="4" fillId="10" borderId="1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horizontal="center" vertical="center"/>
    </xf>
    <xf numFmtId="0" fontId="18" fillId="3" borderId="7" xfId="2" applyFont="1" applyFill="1" applyBorder="1" applyAlignment="1">
      <alignment horizontal="left"/>
    </xf>
    <xf numFmtId="0" fontId="12" fillId="4" borderId="8" xfId="2" applyFill="1" applyBorder="1" applyAlignment="1">
      <alignment horizontal="center" vertical="center"/>
    </xf>
    <xf numFmtId="0" fontId="12" fillId="0" borderId="7" xfId="1" applyFont="1" applyBorder="1"/>
    <xf numFmtId="8" fontId="1" fillId="0" borderId="8" xfId="1" applyNumberFormat="1" applyBorder="1" applyAlignment="1">
      <alignment horizontal="center" vertical="center"/>
    </xf>
    <xf numFmtId="0" fontId="12" fillId="0" borderId="7" xfId="1" applyFont="1" applyBorder="1" applyAlignment="1">
      <alignment horizontal="left"/>
    </xf>
    <xf numFmtId="165" fontId="1" fillId="0" borderId="8" xfId="1" applyNumberFormat="1" applyBorder="1" applyAlignment="1">
      <alignment horizontal="center" vertical="center"/>
    </xf>
    <xf numFmtId="0" fontId="1" fillId="0" borderId="0" xfId="1" applyAlignment="1">
      <alignment horizontal="right"/>
    </xf>
    <xf numFmtId="6" fontId="1" fillId="0" borderId="0" xfId="1" applyNumberFormat="1" applyAlignment="1">
      <alignment horizontal="right"/>
    </xf>
    <xf numFmtId="6" fontId="1" fillId="0" borderId="8" xfId="1" applyNumberFormat="1" applyBorder="1" applyAlignment="1">
      <alignment horizontal="center" vertical="center"/>
    </xf>
    <xf numFmtId="165" fontId="1" fillId="0" borderId="0" xfId="1" applyNumberFormat="1"/>
    <xf numFmtId="6" fontId="1" fillId="11" borderId="0" xfId="1" applyNumberFormat="1" applyFill="1"/>
    <xf numFmtId="0" fontId="15" fillId="0" borderId="7" xfId="1" applyFont="1" applyBorder="1" applyAlignment="1">
      <alignment horizontal="right"/>
    </xf>
    <xf numFmtId="6" fontId="15" fillId="0" borderId="8" xfId="1" applyNumberFormat="1" applyFont="1" applyBorder="1" applyAlignment="1">
      <alignment horizontal="center" vertical="center"/>
    </xf>
    <xf numFmtId="8" fontId="1" fillId="11" borderId="0" xfId="1" applyNumberFormat="1" applyFill="1" applyAlignment="1">
      <alignment horizontal="right"/>
    </xf>
    <xf numFmtId="0" fontId="12" fillId="0" borderId="7" xfId="1" applyFont="1" applyBorder="1" applyAlignment="1">
      <alignment horizontal="right"/>
    </xf>
    <xf numFmtId="166" fontId="12" fillId="0" borderId="8" xfId="4" applyNumberFormat="1" applyFont="1" applyBorder="1" applyAlignment="1" applyProtection="1">
      <alignment horizontal="center" vertical="center"/>
    </xf>
    <xf numFmtId="9" fontId="0" fillId="0" borderId="0" xfId="3" applyFont="1"/>
    <xf numFmtId="8" fontId="1" fillId="0" borderId="14" xfId="1" applyNumberFormat="1" applyBorder="1"/>
    <xf numFmtId="0" fontId="19" fillId="0" borderId="7" xfId="1" applyFont="1" applyBorder="1" applyAlignment="1">
      <alignment horizontal="right" vertical="center"/>
    </xf>
    <xf numFmtId="6" fontId="19" fillId="0" borderId="8" xfId="1" applyNumberFormat="1" applyFont="1" applyBorder="1" applyAlignment="1">
      <alignment horizontal="center" vertical="center"/>
    </xf>
    <xf numFmtId="10" fontId="0" fillId="0" borderId="0" xfId="3" applyNumberFormat="1" applyFont="1"/>
    <xf numFmtId="167" fontId="0" fillId="0" borderId="0" xfId="3" applyNumberFormat="1" applyFont="1" applyAlignment="1">
      <alignment horizontal="right"/>
    </xf>
    <xf numFmtId="0" fontId="19" fillId="0" borderId="12" xfId="1" applyFont="1" applyBorder="1" applyAlignment="1">
      <alignment horizontal="right" vertical="center"/>
    </xf>
    <xf numFmtId="10" fontId="20" fillId="0" borderId="13" xfId="3" applyNumberFormat="1" applyFont="1" applyBorder="1" applyAlignment="1" applyProtection="1">
      <alignment horizontal="center" vertical="center"/>
    </xf>
    <xf numFmtId="168" fontId="0" fillId="0" borderId="15" xfId="3" applyNumberFormat="1" applyFont="1" applyBorder="1"/>
    <xf numFmtId="167" fontId="0" fillId="0" borderId="0" xfId="3" applyNumberFormat="1" applyFont="1"/>
    <xf numFmtId="0" fontId="21" fillId="0" borderId="0" xfId="1" applyFont="1" applyAlignment="1">
      <alignment horizontal="right"/>
    </xf>
    <xf numFmtId="10" fontId="22" fillId="0" borderId="0" xfId="1" applyNumberFormat="1" applyFont="1" applyAlignment="1">
      <alignment horizontal="left"/>
    </xf>
    <xf numFmtId="5" fontId="22" fillId="0" borderId="0" xfId="1" applyNumberFormat="1" applyFont="1" applyAlignment="1">
      <alignment horizontal="left"/>
    </xf>
    <xf numFmtId="165" fontId="22" fillId="0" borderId="0" xfId="1" applyNumberFormat="1" applyFont="1" applyAlignment="1">
      <alignment horizontal="left"/>
    </xf>
    <xf numFmtId="0" fontId="16" fillId="0" borderId="16" xfId="1" applyFont="1" applyBorder="1" applyAlignment="1">
      <alignment horizontal="center"/>
    </xf>
    <xf numFmtId="1" fontId="16" fillId="0" borderId="17" xfId="3" applyNumberFormat="1" applyFont="1" applyBorder="1" applyAlignment="1" applyProtection="1">
      <alignment horizontal="center"/>
    </xf>
    <xf numFmtId="1" fontId="16" fillId="0" borderId="17" xfId="1" applyNumberFormat="1" applyFont="1" applyBorder="1" applyAlignment="1">
      <alignment horizontal="center"/>
    </xf>
    <xf numFmtId="0" fontId="16" fillId="0" borderId="17" xfId="1" applyFont="1" applyBorder="1" applyAlignment="1">
      <alignment horizontal="center"/>
    </xf>
    <xf numFmtId="10" fontId="17" fillId="7" borderId="17" xfId="3" applyNumberFormat="1" applyFont="1" applyFill="1" applyBorder="1" applyAlignment="1" applyProtection="1">
      <alignment horizontal="center"/>
    </xf>
    <xf numFmtId="1" fontId="17" fillId="0" borderId="17" xfId="1" applyNumberFormat="1" applyFont="1" applyBorder="1" applyAlignment="1">
      <alignment horizontal="center"/>
    </xf>
    <xf numFmtId="1" fontId="17" fillId="8" borderId="18" xfId="1" applyNumberFormat="1" applyFont="1" applyFill="1" applyBorder="1" applyAlignment="1">
      <alignment horizontal="center"/>
    </xf>
  </cellXfs>
  <cellStyles count="5">
    <cellStyle name="Monétaire 2" xfId="4" xr:uid="{3198C47F-E9EC-4943-950A-0BC9BC23B318}"/>
    <cellStyle name="Normal" xfId="0" builtinId="0"/>
    <cellStyle name="Normal 2" xfId="1" xr:uid="{A4FD6224-4D9A-49CE-99FF-26714A5A9837}"/>
    <cellStyle name="Normal 4" xfId="2" xr:uid="{C7EA3F1E-3A05-47B3-B7DA-200E990BCEE4}"/>
    <cellStyle name="Pourcentage 2" xfId="3" xr:uid="{7780ADC4-B7B2-471A-9F33-B949444282F2}"/>
  </cellStyles>
  <dxfs count="1">
    <dxf>
      <font>
        <b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YLVIE/PATRIMOINE/PRODUITS/Simulateur%20SCPI%20en%20financement.xlsx" TargetMode="External"/><Relationship Id="rId1" Type="http://schemas.openxmlformats.org/officeDocument/2006/relationships/externalLinkPath" Target="/SYLVIE/PATRIMOINE/PRODUITS/Simulateur%20SCPI%20en%20financ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nuel utilisation"/>
      <sheetName val="Plus-Values"/>
      <sheetName val="Versements Uniques"/>
      <sheetName val="Calendrier"/>
      <sheetName val="Duflot"/>
      <sheetName val="ANCIEN TEST"/>
      <sheetName val="SCPI FR"/>
      <sheetName val="SCPI All"/>
      <sheetName val="Ancien"/>
      <sheetName val="Amort"/>
      <sheetName val="Bouvard"/>
      <sheetName val="Amort+Bouvard"/>
      <sheetName val="Ancien_en_Amort"/>
      <sheetName val="Ancien_en_Amort+2nd_Amort"/>
      <sheetName val="Résult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A62F-7CFD-4E3F-9C06-77BCBBE34180}">
  <dimension ref="A1:AJ54"/>
  <sheetViews>
    <sheetView showGridLines="0" tabSelected="1" showRuler="0" zoomScale="85" zoomScaleNormal="85" workbookViewId="0">
      <selection activeCell="F9" sqref="F9"/>
    </sheetView>
  </sheetViews>
  <sheetFormatPr baseColWidth="10" defaultColWidth="11.54296875" defaultRowHeight="12.5"/>
  <cols>
    <col min="1" max="1" width="50.7265625" style="4" customWidth="1"/>
    <col min="2" max="2" width="15.26953125" style="4" customWidth="1"/>
    <col min="3" max="3" width="12.81640625" style="4" customWidth="1"/>
    <col min="4" max="4" width="14" style="4" bestFit="1" customWidth="1"/>
    <col min="5" max="7" width="12.81640625" style="4" customWidth="1"/>
    <col min="8" max="8" width="3.26953125" style="4" customWidth="1"/>
    <col min="9" max="9" width="5.26953125" style="4" customWidth="1"/>
    <col min="10" max="10" width="16.08984375" style="4" customWidth="1"/>
    <col min="11" max="11" width="8.26953125" style="4" customWidth="1"/>
    <col min="12" max="12" width="14.1796875" style="4" customWidth="1"/>
    <col min="13" max="13" width="5.1796875" style="4" customWidth="1"/>
    <col min="14" max="14" width="7" style="4" customWidth="1"/>
    <col min="15" max="15" width="6.26953125" style="4" customWidth="1"/>
    <col min="16" max="16" width="5" style="4" customWidth="1"/>
    <col min="17" max="17" width="6.453125" style="4" customWidth="1"/>
    <col min="18" max="18" width="8.453125" style="4" customWidth="1"/>
    <col min="19" max="19" width="6.7265625" style="4" customWidth="1"/>
    <col min="20" max="20" width="2.54296875" style="4" customWidth="1"/>
    <col min="21" max="21" width="4.54296875" style="4" customWidth="1"/>
    <col min="22" max="22" width="12.54296875" style="4" customWidth="1"/>
    <col min="23" max="23" width="13.81640625" style="4" customWidth="1"/>
    <col min="24" max="24" width="11.81640625" style="4" customWidth="1"/>
    <col min="25" max="25" width="7.1796875" style="4" customWidth="1"/>
    <col min="26" max="26" width="8.26953125" style="4" customWidth="1"/>
    <col min="27" max="27" width="14.453125" style="4" customWidth="1"/>
    <col min="28" max="28" width="15.54296875" style="4" customWidth="1"/>
    <col min="29" max="29" width="9.1796875" style="4" customWidth="1"/>
    <col min="30" max="30" width="11" style="4" customWidth="1"/>
    <col min="31" max="31" width="8.81640625" style="4" customWidth="1"/>
    <col min="32" max="32" width="10.36328125" style="2" customWidth="1"/>
    <col min="33" max="33" width="17.453125" style="3" customWidth="1"/>
    <col min="34" max="34" width="13.7265625" style="4" customWidth="1"/>
    <col min="35" max="35" width="6.453125" style="4" customWidth="1"/>
    <col min="36" max="36" width="12.26953125" style="4" customWidth="1"/>
    <col min="37" max="37" width="7.54296875" style="4" customWidth="1"/>
    <col min="38" max="16384" width="11.54296875" style="4"/>
  </cols>
  <sheetData>
    <row r="1" spans="1:36" ht="20.5">
      <c r="A1" s="1"/>
      <c r="B1" s="1"/>
      <c r="C1" s="1"/>
      <c r="D1" s="1"/>
      <c r="E1" s="1"/>
      <c r="F1" s="1"/>
      <c r="G1" s="1"/>
      <c r="H1" s="1"/>
      <c r="I1" s="1"/>
      <c r="J1" s="1">
        <f>A1</f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6" ht="6" customHeight="1"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6" s="9" customFormat="1" ht="28.5" customHeight="1" thickBot="1">
      <c r="A3" s="6" t="s">
        <v>0</v>
      </c>
      <c r="B3" s="7"/>
      <c r="C3" s="8"/>
      <c r="D3" s="8"/>
      <c r="E3" s="8"/>
      <c r="F3" s="8"/>
      <c r="G3" s="8"/>
      <c r="H3" s="8"/>
      <c r="J3" s="10" t="s">
        <v>1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</row>
    <row r="4" spans="1:36" ht="48" customHeight="1" thickBot="1">
      <c r="A4" s="12" t="s">
        <v>2</v>
      </c>
      <c r="B4" s="13">
        <v>40000</v>
      </c>
      <c r="C4" s="14"/>
      <c r="D4" s="14"/>
      <c r="E4" s="14"/>
      <c r="F4" s="14"/>
      <c r="G4" s="14"/>
      <c r="H4" s="14"/>
      <c r="J4" s="15" t="s">
        <v>3</v>
      </c>
      <c r="K4" s="16" t="s">
        <v>4</v>
      </c>
      <c r="L4" s="17" t="s">
        <v>5</v>
      </c>
      <c r="M4" s="17" t="s">
        <v>6</v>
      </c>
      <c r="N4" s="17" t="s">
        <v>7</v>
      </c>
      <c r="O4" s="17" t="s">
        <v>8</v>
      </c>
      <c r="P4" s="17" t="s">
        <v>9</v>
      </c>
      <c r="Q4" s="17" t="s">
        <v>10</v>
      </c>
      <c r="R4" s="17" t="s">
        <v>11</v>
      </c>
      <c r="S4" s="17" t="s">
        <v>12</v>
      </c>
      <c r="T4" s="17" t="s">
        <v>13</v>
      </c>
      <c r="U4" s="17" t="s">
        <v>14</v>
      </c>
      <c r="V4" s="17" t="s">
        <v>15</v>
      </c>
      <c r="W4" s="17" t="s">
        <v>16</v>
      </c>
      <c r="X4" s="17" t="s">
        <v>17</v>
      </c>
      <c r="Y4" s="17" t="s">
        <v>18</v>
      </c>
      <c r="Z4" s="17" t="s">
        <v>19</v>
      </c>
      <c r="AA4" s="18" t="s">
        <v>20</v>
      </c>
      <c r="AB4" s="19" t="s">
        <v>4</v>
      </c>
      <c r="AC4" s="20" t="s">
        <v>21</v>
      </c>
      <c r="AD4" s="20" t="s">
        <v>22</v>
      </c>
      <c r="AE4" s="21" t="s">
        <v>23</v>
      </c>
      <c r="AF4" s="2" t="s">
        <v>24</v>
      </c>
      <c r="AJ4" s="22">
        <f>VLOOKUP($B$28,$J$5:$AJ$35,27,FALSE)</f>
        <v>50949.898034160731</v>
      </c>
    </row>
    <row r="5" spans="1:36">
      <c r="A5" s="23" t="s">
        <v>25</v>
      </c>
      <c r="B5" s="24">
        <v>4.8000000000000001E-2</v>
      </c>
      <c r="C5" s="25">
        <f>B4*B5</f>
        <v>1920</v>
      </c>
      <c r="D5" s="25"/>
      <c r="E5" s="25"/>
      <c r="F5" s="25"/>
      <c r="G5" s="25"/>
      <c r="J5" s="26">
        <v>1</v>
      </c>
      <c r="K5" s="27">
        <f>IF(J5&lt;=$B$16,$B$18*12,0)</f>
        <v>3347.2596400430548</v>
      </c>
      <c r="L5" s="28">
        <f>B5*B4</f>
        <v>1920</v>
      </c>
      <c r="M5" s="28">
        <f t="shared" ref="M5:M54" si="0">IF(J5&lt;$B$16+1,-CUMIPMT($B$14/12,$B$16*12,($B$10),12*J5-11,12*J5,0),0)</f>
        <v>2171.7952046187156</v>
      </c>
      <c r="N5" s="28">
        <f>IF(J5&lt;$B$16+1,($B$4+$B$4*$B$8)*$B$15,0)</f>
        <v>0</v>
      </c>
      <c r="O5" s="28">
        <f>M5+N5</f>
        <v>2171.7952046187156</v>
      </c>
      <c r="P5" s="28">
        <f>($B$11)*L5</f>
        <v>0</v>
      </c>
      <c r="Q5" s="28">
        <v>0</v>
      </c>
      <c r="R5" s="28">
        <f>B4*B8+L6*$B$11</f>
        <v>0</v>
      </c>
      <c r="S5" s="28">
        <f>L5-O5-P5-Q5-R5</f>
        <v>-251.79520461871562</v>
      </c>
      <c r="T5" s="28">
        <f>MAX(O5-L5,0)</f>
        <v>251.79520461871562</v>
      </c>
      <c r="U5" s="28">
        <f>T5</f>
        <v>251.79520461871562</v>
      </c>
      <c r="V5" s="28">
        <f>IF(S5&lt;0,0,MIN(S5,U5))</f>
        <v>0</v>
      </c>
      <c r="W5" s="28">
        <f>U5-V5</f>
        <v>251.79520461871562</v>
      </c>
      <c r="X5" s="28">
        <f>IF(T5&gt;0,-P5-Q5,S5-V5)</f>
        <v>0</v>
      </c>
      <c r="Y5" s="28">
        <f t="shared" ref="Y5:Y54" si="1">S5*$B$23</f>
        <v>-118.84733658003377</v>
      </c>
      <c r="Z5" s="29">
        <v>0</v>
      </c>
      <c r="AA5" s="27">
        <f>L5-P5-Y5+Z5</f>
        <v>2038.8473365800337</v>
      </c>
      <c r="AB5" s="27">
        <f>IF(J5&lt;=$B$16,$B$18*12,0)</f>
        <v>3347.2596400430548</v>
      </c>
      <c r="AC5" s="30">
        <f>(L5+Z5-P5-Y5)/($B$4*(1+$B$8))</f>
        <v>5.097118341450084E-2</v>
      </c>
      <c r="AD5" s="31">
        <f t="shared" ref="AD5:AD54" si="2">IF(J5&lt;$B$16+1,AA5-($B$18*12),AA5)</f>
        <v>-1308.4123034630211</v>
      </c>
      <c r="AE5" s="32">
        <f>AD5/12</f>
        <v>-109.03435862191843</v>
      </c>
      <c r="AF5" s="33">
        <f>AD5</f>
        <v>-1308.4123034630211</v>
      </c>
      <c r="AG5" s="3">
        <f ca="1">IF($J5=$B$28," ",TODAY())</f>
        <v>46148</v>
      </c>
      <c r="AH5" s="34">
        <f>IF($J5=$B$28,$AJ$4,AD5-B9)</f>
        <v>-1308.4123034630211</v>
      </c>
      <c r="AI5" s="35">
        <f>$B$31/$B$28</f>
        <v>2830.5498907867063</v>
      </c>
      <c r="AJ5" s="35">
        <f>AI5</f>
        <v>2830.5498907867063</v>
      </c>
    </row>
    <row r="6" spans="1:36">
      <c r="A6" s="23"/>
      <c r="B6" s="24"/>
      <c r="C6" s="25">
        <f>C5/12</f>
        <v>160</v>
      </c>
      <c r="D6" s="25"/>
      <c r="E6" s="25"/>
      <c r="F6" s="25"/>
      <c r="G6" s="25"/>
      <c r="H6" s="36"/>
      <c r="J6" s="26">
        <f>J5+1</f>
        <v>2</v>
      </c>
      <c r="K6" s="27">
        <f>IF(J6&lt;=$B$16,$B$18*12,0)</f>
        <v>3347.2596400430548</v>
      </c>
      <c r="L6" s="28">
        <f>L5*(1+$B$7)</f>
        <v>1958.4</v>
      </c>
      <c r="M6" s="28">
        <f t="shared" si="0"/>
        <v>2108.0507194378361</v>
      </c>
      <c r="N6" s="28">
        <f t="shared" ref="N6:N54" si="3">IF(J6&lt;$B$16+1,($B$4+$B$4*$B$8)*$B$15,0)</f>
        <v>0</v>
      </c>
      <c r="O6" s="28">
        <f>M6+N6</f>
        <v>2108.0507194378361</v>
      </c>
      <c r="P6" s="28">
        <f>($B$11)*L6</f>
        <v>0</v>
      </c>
      <c r="Q6" s="28">
        <v>0</v>
      </c>
      <c r="R6" s="28">
        <f>L6*$B$11</f>
        <v>0</v>
      </c>
      <c r="S6" s="28">
        <f>L6-O6-P6-Q6</f>
        <v>-149.65071943783596</v>
      </c>
      <c r="T6" s="28">
        <f>MAX(O6-L6,0)</f>
        <v>149.65071943783596</v>
      </c>
      <c r="U6" s="28">
        <f>T6+W5</f>
        <v>401.44592405655158</v>
      </c>
      <c r="V6" s="28">
        <f t="shared" ref="V6:V54" si="4">IF(S6&lt;0,0,MIN(S6,U6))</f>
        <v>0</v>
      </c>
      <c r="W6" s="28">
        <f t="shared" ref="W6:W54" si="5">U6-V6</f>
        <v>401.44592405655158</v>
      </c>
      <c r="X6" s="28">
        <f t="shared" ref="X6:X54" si="6">IF(T6&gt;0,-P6-Q6,S6-V6)</f>
        <v>0</v>
      </c>
      <c r="Y6" s="28">
        <f t="shared" si="1"/>
        <v>-70.635139574658567</v>
      </c>
      <c r="Z6" s="29">
        <v>0</v>
      </c>
      <c r="AA6" s="27">
        <f>L6-P6-Y6+Z6</f>
        <v>2029.0351395746586</v>
      </c>
      <c r="AB6" s="27">
        <f t="shared" ref="AB6:AB54" si="7">IF(J6&lt;=$B$16,$B$18*12,0)</f>
        <v>3347.2596400430548</v>
      </c>
      <c r="AC6" s="30">
        <f>(L6+Z6-P6-Y6)/($B$4*(1+$B$8))</f>
        <v>5.0725878489366466E-2</v>
      </c>
      <c r="AD6" s="31">
        <f t="shared" si="2"/>
        <v>-1318.2245004683962</v>
      </c>
      <c r="AE6" s="32">
        <f>AD6/12</f>
        <v>-109.85204170569968</v>
      </c>
      <c r="AF6" s="33">
        <f>AF5+AD6</f>
        <v>-2626.6368039314175</v>
      </c>
      <c r="AG6" s="3">
        <f ca="1">IF($J6&gt;($B$28+1),AG5,EDATE(AG5,12))</f>
        <v>46513</v>
      </c>
      <c r="AH6" s="34">
        <f>IF(AH5=0,0,IF((AH5=$AJ$4),0,IF($J6=$B$28+1,$AJ$4,AD6)))</f>
        <v>-1318.2245004683962</v>
      </c>
      <c r="AI6" s="35">
        <f t="shared" ref="AI6:AI54" si="8">$B$31/$B$28</f>
        <v>2830.5498907867063</v>
      </c>
      <c r="AJ6" s="35">
        <f>AJ5+AI6</f>
        <v>5661.0997815734127</v>
      </c>
    </row>
    <row r="7" spans="1:36">
      <c r="A7" s="37" t="s">
        <v>26</v>
      </c>
      <c r="B7" s="38">
        <v>0.02</v>
      </c>
      <c r="C7" s="39"/>
      <c r="D7" s="39"/>
      <c r="E7" s="39"/>
      <c r="F7" s="39"/>
      <c r="G7" s="39"/>
      <c r="J7" s="26">
        <f t="shared" ref="J7:J8" si="9">J6+1</f>
        <v>3</v>
      </c>
      <c r="K7" s="27">
        <f t="shared" ref="K7:K54" si="10">IF(J7&lt;=$B$16,$B$18*12,0)</f>
        <v>3347.2596400430548</v>
      </c>
      <c r="L7" s="28">
        <f>L6*(1+$B$7)</f>
        <v>1997.5680000000002</v>
      </c>
      <c r="M7" s="28">
        <f t="shared" si="0"/>
        <v>2040.7105442365253</v>
      </c>
      <c r="N7" s="28">
        <f t="shared" si="3"/>
        <v>0</v>
      </c>
      <c r="O7" s="28">
        <f t="shared" ref="O7:O54" si="11">M7+N7</f>
        <v>2040.7105442365253</v>
      </c>
      <c r="P7" s="28">
        <f t="shared" ref="P7:P54" si="12">$B$11*L7</f>
        <v>0</v>
      </c>
      <c r="Q7" s="28">
        <v>0</v>
      </c>
      <c r="R7" s="28">
        <f t="shared" ref="R7:R54" si="13">L7*$B$11</f>
        <v>0</v>
      </c>
      <c r="S7" s="28">
        <f t="shared" ref="S7:S54" si="14">L7-O7-P7-Q7</f>
        <v>-43.142544236525055</v>
      </c>
      <c r="T7" s="28">
        <f t="shared" ref="T7:T54" si="15">MAX(O7-L7,0)</f>
        <v>43.142544236525055</v>
      </c>
      <c r="U7" s="28">
        <f t="shared" ref="U7:U54" si="16">T7+W6</f>
        <v>444.58846829307663</v>
      </c>
      <c r="V7" s="28">
        <f t="shared" si="4"/>
        <v>0</v>
      </c>
      <c r="W7" s="28">
        <f t="shared" si="5"/>
        <v>444.58846829307663</v>
      </c>
      <c r="X7" s="28">
        <f t="shared" si="6"/>
        <v>0</v>
      </c>
      <c r="Y7" s="28">
        <f t="shared" si="1"/>
        <v>-20.363280879639824</v>
      </c>
      <c r="Z7" s="29">
        <v>0</v>
      </c>
      <c r="AA7" s="27">
        <f t="shared" ref="AA7:AA54" si="17">L7-P7-Y7+Z7</f>
        <v>2017.9312808796401</v>
      </c>
      <c r="AB7" s="27">
        <f t="shared" si="7"/>
        <v>3347.2596400430548</v>
      </c>
      <c r="AC7" s="30">
        <f t="shared" ref="AC7:AC54" si="18">(L7+Z7-P7-Y7)/($B$4*(1+$B$8))</f>
        <v>5.0448282021991003E-2</v>
      </c>
      <c r="AD7" s="31">
        <f t="shared" si="2"/>
        <v>-1329.3283591634147</v>
      </c>
      <c r="AE7" s="32">
        <f t="shared" ref="AE7:AE54" si="19">AD7/12</f>
        <v>-110.77736326361789</v>
      </c>
      <c r="AF7" s="33">
        <f>AF6+AD7</f>
        <v>-3955.965163094832</v>
      </c>
      <c r="AG7" s="3">
        <f t="shared" ref="AG7:AG54" ca="1" si="20">IF($J7&gt;($B$28+1),AG6,EDATE(AG6,12))</f>
        <v>46879</v>
      </c>
      <c r="AH7" s="34">
        <f>IF(AH6=0,0,IF((AH6=$AJ$4),0,IF($J7=$B$28+1,$AJ$4,AD7)))</f>
        <v>-1329.3283591634147</v>
      </c>
      <c r="AI7" s="35">
        <f t="shared" si="8"/>
        <v>2830.5498907867063</v>
      </c>
      <c r="AJ7" s="35">
        <f t="shared" ref="AJ7:AJ54" si="21">AJ6+AI7</f>
        <v>8491.6496723601194</v>
      </c>
    </row>
    <row r="8" spans="1:36">
      <c r="A8" s="40" t="s">
        <v>27</v>
      </c>
      <c r="B8" s="38">
        <v>0</v>
      </c>
      <c r="C8" s="25">
        <f>B4*B8</f>
        <v>0</v>
      </c>
      <c r="D8" s="25"/>
      <c r="E8" s="25"/>
      <c r="F8" s="25"/>
      <c r="G8" s="25"/>
      <c r="J8" s="26">
        <f t="shared" si="9"/>
        <v>4</v>
      </c>
      <c r="K8" s="27">
        <f t="shared" si="10"/>
        <v>3347.2596400430548</v>
      </c>
      <c r="L8" s="28">
        <f t="shared" ref="L8:L54" si="22">L7*(1+$B$7)</f>
        <v>2037.5193600000002</v>
      </c>
      <c r="M8" s="28">
        <f t="shared" si="0"/>
        <v>1969.5718538341214</v>
      </c>
      <c r="N8" s="28">
        <f t="shared" si="3"/>
        <v>0</v>
      </c>
      <c r="O8" s="28">
        <f t="shared" si="11"/>
        <v>1969.5718538341214</v>
      </c>
      <c r="P8" s="28">
        <f t="shared" si="12"/>
        <v>0</v>
      </c>
      <c r="Q8" s="28">
        <v>0</v>
      </c>
      <c r="R8" s="28">
        <f t="shared" si="13"/>
        <v>0</v>
      </c>
      <c r="S8" s="28">
        <f>L8-O8-P8-Q8</f>
        <v>67.947506165878849</v>
      </c>
      <c r="T8" s="28">
        <f t="shared" si="15"/>
        <v>0</v>
      </c>
      <c r="U8" s="28">
        <f t="shared" si="16"/>
        <v>444.58846829307663</v>
      </c>
      <c r="V8" s="28">
        <f t="shared" si="4"/>
        <v>67.947506165878849</v>
      </c>
      <c r="W8" s="28">
        <f t="shared" si="5"/>
        <v>376.64096212719778</v>
      </c>
      <c r="X8" s="28">
        <f t="shared" si="6"/>
        <v>0</v>
      </c>
      <c r="Y8" s="28">
        <f t="shared" si="1"/>
        <v>32.071222910294814</v>
      </c>
      <c r="Z8" s="29">
        <v>0</v>
      </c>
      <c r="AA8" s="27">
        <f t="shared" si="17"/>
        <v>2005.4481370897054</v>
      </c>
      <c r="AB8" s="27">
        <f t="shared" si="7"/>
        <v>3347.2596400430548</v>
      </c>
      <c r="AC8" s="30">
        <f t="shared" si="18"/>
        <v>5.0136203427242634E-2</v>
      </c>
      <c r="AD8" s="31">
        <f t="shared" si="2"/>
        <v>-1341.8115029533494</v>
      </c>
      <c r="AE8" s="32">
        <f t="shared" si="19"/>
        <v>-111.81762524611246</v>
      </c>
      <c r="AF8" s="33">
        <f>AF7+AD8</f>
        <v>-5297.7766660481811</v>
      </c>
      <c r="AG8" s="3">
        <f t="shared" ca="1" si="20"/>
        <v>47244</v>
      </c>
      <c r="AH8" s="34">
        <f>IF(AH7=0,0,IF((AH7=$AJ$4),0,IF($J8=$B$28+1,$AJ$4,AD8)))</f>
        <v>-1341.8115029533494</v>
      </c>
      <c r="AI8" s="35">
        <f t="shared" si="8"/>
        <v>2830.5498907867063</v>
      </c>
      <c r="AJ8" s="35">
        <f t="shared" si="21"/>
        <v>11322.199563146825</v>
      </c>
    </row>
    <row r="9" spans="1:36">
      <c r="A9" s="37" t="s">
        <v>28</v>
      </c>
      <c r="B9" s="41">
        <v>0</v>
      </c>
      <c r="J9" s="26">
        <f>J8+1</f>
        <v>5</v>
      </c>
      <c r="K9" s="27">
        <f t="shared" si="10"/>
        <v>3347.2596400430548</v>
      </c>
      <c r="L9" s="28">
        <f t="shared" si="22"/>
        <v>2078.2697472000004</v>
      </c>
      <c r="M9" s="28">
        <f t="shared" si="0"/>
        <v>1894.420382115489</v>
      </c>
      <c r="N9" s="28">
        <f t="shared" si="3"/>
        <v>0</v>
      </c>
      <c r="O9" s="28">
        <f t="shared" si="11"/>
        <v>1894.420382115489</v>
      </c>
      <c r="P9" s="28">
        <f t="shared" si="12"/>
        <v>0</v>
      </c>
      <c r="Q9" s="28">
        <v>0</v>
      </c>
      <c r="R9" s="28">
        <f t="shared" si="13"/>
        <v>0</v>
      </c>
      <c r="S9" s="28">
        <f>L9-O9-P9-Q9</f>
        <v>183.84936508451142</v>
      </c>
      <c r="T9" s="28">
        <f t="shared" si="15"/>
        <v>0</v>
      </c>
      <c r="U9" s="28">
        <f t="shared" si="16"/>
        <v>376.64096212719778</v>
      </c>
      <c r="V9" s="28">
        <f t="shared" si="4"/>
        <v>183.84936508451142</v>
      </c>
      <c r="W9" s="28">
        <f t="shared" si="5"/>
        <v>192.79159704268636</v>
      </c>
      <c r="X9" s="28">
        <f t="shared" si="6"/>
        <v>0</v>
      </c>
      <c r="Y9" s="28">
        <f t="shared" si="1"/>
        <v>86.776900319889378</v>
      </c>
      <c r="Z9" s="29">
        <v>0</v>
      </c>
      <c r="AA9" s="27">
        <f t="shared" si="17"/>
        <v>1991.4928468801111</v>
      </c>
      <c r="AB9" s="27">
        <f t="shared" si="7"/>
        <v>3347.2596400430548</v>
      </c>
      <c r="AC9" s="30">
        <f t="shared" si="18"/>
        <v>4.9787321172002776E-2</v>
      </c>
      <c r="AD9" s="31">
        <f t="shared" si="2"/>
        <v>-1355.7667931629437</v>
      </c>
      <c r="AE9" s="32">
        <f t="shared" si="19"/>
        <v>-112.98056609691197</v>
      </c>
      <c r="AF9" s="33">
        <f>AF8+AD9</f>
        <v>-6653.5434592111251</v>
      </c>
      <c r="AG9" s="3">
        <f t="shared" ca="1" si="20"/>
        <v>47609</v>
      </c>
      <c r="AH9" s="34">
        <f>IF(AH8=0,0,IF((AH8=$AJ$4),0,IF($J9=$B$28+1,$AJ$4,AD9)))</f>
        <v>-1355.7667931629437</v>
      </c>
      <c r="AI9" s="35">
        <f t="shared" si="8"/>
        <v>2830.5498907867063</v>
      </c>
      <c r="AJ9" s="35">
        <f t="shared" si="21"/>
        <v>14152.749453933531</v>
      </c>
    </row>
    <row r="10" spans="1:36" ht="13">
      <c r="A10" s="42" t="s">
        <v>29</v>
      </c>
      <c r="B10" s="43">
        <f>B4-B9+B4*B8</f>
        <v>40000</v>
      </c>
      <c r="J10" s="26">
        <f t="shared" ref="J10:J54" si="23">J9+1</f>
        <v>6</v>
      </c>
      <c r="K10" s="27">
        <f t="shared" si="10"/>
        <v>3347.2596400430548</v>
      </c>
      <c r="L10" s="28">
        <f t="shared" si="22"/>
        <v>2119.8351421440007</v>
      </c>
      <c r="M10" s="28">
        <f t="shared" si="0"/>
        <v>1815.029776672385</v>
      </c>
      <c r="N10" s="28">
        <f t="shared" si="3"/>
        <v>0</v>
      </c>
      <c r="O10" s="28">
        <f t="shared" si="11"/>
        <v>1815.029776672385</v>
      </c>
      <c r="P10" s="28">
        <f t="shared" si="12"/>
        <v>0</v>
      </c>
      <c r="Q10" s="28">
        <v>0</v>
      </c>
      <c r="R10" s="28">
        <f t="shared" si="13"/>
        <v>0</v>
      </c>
      <c r="S10" s="28">
        <f>L10-O10-P10-Q10</f>
        <v>304.80536547161569</v>
      </c>
      <c r="T10" s="28">
        <f t="shared" si="15"/>
        <v>0</v>
      </c>
      <c r="U10" s="28">
        <f t="shared" si="16"/>
        <v>192.79159704268636</v>
      </c>
      <c r="V10" s="28">
        <f t="shared" si="4"/>
        <v>192.79159704268636</v>
      </c>
      <c r="W10" s="28">
        <f t="shared" si="5"/>
        <v>0</v>
      </c>
      <c r="X10" s="28">
        <f t="shared" si="6"/>
        <v>112.01376842892932</v>
      </c>
      <c r="Y10" s="28">
        <f t="shared" si="1"/>
        <v>143.86813250260261</v>
      </c>
      <c r="Z10" s="29">
        <v>0</v>
      </c>
      <c r="AA10" s="27">
        <f t="shared" si="17"/>
        <v>1975.9670096413981</v>
      </c>
      <c r="AB10" s="27">
        <f t="shared" si="7"/>
        <v>3347.2596400430548</v>
      </c>
      <c r="AC10" s="30">
        <f t="shared" si="18"/>
        <v>4.9399175241034952E-2</v>
      </c>
      <c r="AD10" s="31">
        <f t="shared" si="2"/>
        <v>-1371.2926304016567</v>
      </c>
      <c r="AE10" s="32">
        <f t="shared" si="19"/>
        <v>-114.27438586680472</v>
      </c>
      <c r="AF10" s="33">
        <f>AF9+AD10</f>
        <v>-8024.8360896127815</v>
      </c>
      <c r="AG10" s="3">
        <f t="shared" ca="1" si="20"/>
        <v>47974</v>
      </c>
      <c r="AH10" s="34">
        <f>IF(AH9=0,0,IF((AH9=$AJ$4),0,IF($J10=$B$28+1,$AJ$4,AD10)))</f>
        <v>-1371.2926304016567</v>
      </c>
      <c r="AI10" s="35">
        <f t="shared" si="8"/>
        <v>2830.5498907867063</v>
      </c>
      <c r="AJ10" s="35">
        <f>AJ9+AI10</f>
        <v>16983.299344720239</v>
      </c>
    </row>
    <row r="11" spans="1:36">
      <c r="A11" s="44" t="s">
        <v>30</v>
      </c>
      <c r="B11" s="45">
        <v>0</v>
      </c>
      <c r="C11" s="25">
        <f>C5*B11</f>
        <v>0</v>
      </c>
      <c r="D11" s="25"/>
      <c r="E11" s="25"/>
      <c r="F11" s="25"/>
      <c r="G11" s="25"/>
      <c r="J11" s="26">
        <f t="shared" si="23"/>
        <v>7</v>
      </c>
      <c r="K11" s="27">
        <f t="shared" si="10"/>
        <v>3347.2596400430548</v>
      </c>
      <c r="L11" s="28">
        <f t="shared" si="22"/>
        <v>2162.2318449868808</v>
      </c>
      <c r="M11" s="28">
        <f t="shared" si="0"/>
        <v>1731.1609170415227</v>
      </c>
      <c r="N11" s="28">
        <f t="shared" si="3"/>
        <v>0</v>
      </c>
      <c r="O11" s="28">
        <f t="shared" si="11"/>
        <v>1731.1609170415227</v>
      </c>
      <c r="P11" s="28">
        <f t="shared" si="12"/>
        <v>0</v>
      </c>
      <c r="Q11" s="28">
        <v>0</v>
      </c>
      <c r="R11" s="28">
        <f t="shared" si="13"/>
        <v>0</v>
      </c>
      <c r="S11" s="28">
        <f t="shared" si="14"/>
        <v>431.07092794535811</v>
      </c>
      <c r="T11" s="28">
        <f t="shared" si="15"/>
        <v>0</v>
      </c>
      <c r="U11" s="28">
        <f t="shared" si="16"/>
        <v>0</v>
      </c>
      <c r="V11" s="28">
        <f t="shared" si="4"/>
        <v>0</v>
      </c>
      <c r="W11" s="28">
        <f t="shared" si="5"/>
        <v>0</v>
      </c>
      <c r="X11" s="28">
        <f t="shared" si="6"/>
        <v>431.07092794535811</v>
      </c>
      <c r="Y11" s="28">
        <f t="shared" si="1"/>
        <v>203.46547799020902</v>
      </c>
      <c r="Z11" s="29">
        <v>0</v>
      </c>
      <c r="AA11" s="27">
        <f t="shared" si="17"/>
        <v>1958.7663669966719</v>
      </c>
      <c r="AB11" s="27">
        <f t="shared" si="7"/>
        <v>3347.2596400430548</v>
      </c>
      <c r="AC11" s="30">
        <f t="shared" si="18"/>
        <v>4.8969159174916795E-2</v>
      </c>
      <c r="AD11" s="31">
        <f t="shared" si="2"/>
        <v>-1388.4932730463829</v>
      </c>
      <c r="AE11" s="32">
        <f t="shared" si="19"/>
        <v>-115.70777275386524</v>
      </c>
      <c r="AF11" s="33">
        <f>AF10+AD11</f>
        <v>-9413.329362659164</v>
      </c>
      <c r="AG11" s="3">
        <f t="shared" ca="1" si="20"/>
        <v>48340</v>
      </c>
      <c r="AH11" s="34">
        <f>IF(AH10=0,0,IF((AH10=$AJ$4),0,IF($J11=$B$28+1,$AJ$4,AD11)))</f>
        <v>-1388.4932730463829</v>
      </c>
      <c r="AI11" s="35">
        <f t="shared" si="8"/>
        <v>2830.5498907867063</v>
      </c>
      <c r="AJ11" s="35">
        <f t="shared" si="21"/>
        <v>19813.849235506947</v>
      </c>
    </row>
    <row r="12" spans="1:36">
      <c r="J12" s="26">
        <f t="shared" si="23"/>
        <v>8</v>
      </c>
      <c r="K12" s="27">
        <f t="shared" si="10"/>
        <v>3347.2596400430548</v>
      </c>
      <c r="L12" s="28">
        <f t="shared" si="22"/>
        <v>2205.4764818866183</v>
      </c>
      <c r="M12" s="28">
        <f t="shared" si="0"/>
        <v>1642.561194485909</v>
      </c>
      <c r="N12" s="28">
        <f t="shared" si="3"/>
        <v>0</v>
      </c>
      <c r="O12" s="28">
        <f t="shared" si="11"/>
        <v>1642.561194485909</v>
      </c>
      <c r="P12" s="28">
        <f t="shared" si="12"/>
        <v>0</v>
      </c>
      <c r="Q12" s="28">
        <v>0</v>
      </c>
      <c r="R12" s="28">
        <f t="shared" si="13"/>
        <v>0</v>
      </c>
      <c r="S12" s="28">
        <f t="shared" si="14"/>
        <v>562.9152874007093</v>
      </c>
      <c r="T12" s="28">
        <f t="shared" si="15"/>
        <v>0</v>
      </c>
      <c r="U12" s="28">
        <f t="shared" si="16"/>
        <v>0</v>
      </c>
      <c r="V12" s="28">
        <f t="shared" si="4"/>
        <v>0</v>
      </c>
      <c r="W12" s="28">
        <f t="shared" si="5"/>
        <v>0</v>
      </c>
      <c r="X12" s="28">
        <f t="shared" si="6"/>
        <v>562.9152874007093</v>
      </c>
      <c r="Y12" s="28">
        <f t="shared" si="1"/>
        <v>265.69601565313479</v>
      </c>
      <c r="Z12" s="29">
        <v>0</v>
      </c>
      <c r="AA12" s="27">
        <f t="shared" si="17"/>
        <v>1939.7804662334836</v>
      </c>
      <c r="AB12" s="27">
        <f t="shared" si="7"/>
        <v>3347.2596400430548</v>
      </c>
      <c r="AC12" s="30">
        <f t="shared" si="18"/>
        <v>4.849451165583709E-2</v>
      </c>
      <c r="AD12" s="31">
        <f t="shared" si="2"/>
        <v>-1407.4791738095712</v>
      </c>
      <c r="AE12" s="32">
        <f t="shared" si="19"/>
        <v>-117.2899311507976</v>
      </c>
      <c r="AF12" s="33">
        <f>AF11+AD12</f>
        <v>-10820.808536468736</v>
      </c>
      <c r="AG12" s="3">
        <f t="shared" ca="1" si="20"/>
        <v>48705</v>
      </c>
      <c r="AH12" s="34">
        <f>IF(AH11=0,0,IF((AH11=$AJ$4),0,IF($J12=$B$28+1,$AJ$4,AD12)))</f>
        <v>-1407.4791738095712</v>
      </c>
      <c r="AI12" s="35">
        <f t="shared" si="8"/>
        <v>2830.5498907867063</v>
      </c>
      <c r="AJ12" s="35">
        <f t="shared" si="21"/>
        <v>22644.399126293654</v>
      </c>
    </row>
    <row r="13" spans="1:36" ht="18">
      <c r="A13" s="6" t="s">
        <v>31</v>
      </c>
      <c r="B13" s="7"/>
      <c r="J13" s="26">
        <f t="shared" si="23"/>
        <v>9</v>
      </c>
      <c r="K13" s="27">
        <f t="shared" si="10"/>
        <v>3347.2596400430548</v>
      </c>
      <c r="L13" s="28">
        <f t="shared" si="22"/>
        <v>2249.5860115243509</v>
      </c>
      <c r="M13" s="28">
        <f t="shared" si="0"/>
        <v>1548.963751150181</v>
      </c>
      <c r="N13" s="28">
        <f t="shared" si="3"/>
        <v>0</v>
      </c>
      <c r="O13" s="28">
        <f t="shared" si="11"/>
        <v>1548.963751150181</v>
      </c>
      <c r="P13" s="28">
        <f t="shared" si="12"/>
        <v>0</v>
      </c>
      <c r="Q13" s="28">
        <v>0</v>
      </c>
      <c r="R13" s="28">
        <f t="shared" si="13"/>
        <v>0</v>
      </c>
      <c r="S13" s="28">
        <f t="shared" si="14"/>
        <v>700.62226037416985</v>
      </c>
      <c r="T13" s="28">
        <f t="shared" si="15"/>
        <v>0</v>
      </c>
      <c r="U13" s="28">
        <f t="shared" si="16"/>
        <v>0</v>
      </c>
      <c r="V13" s="28">
        <f t="shared" si="4"/>
        <v>0</v>
      </c>
      <c r="W13" s="28">
        <f t="shared" si="5"/>
        <v>0</v>
      </c>
      <c r="X13" s="28">
        <f t="shared" si="6"/>
        <v>700.62226037416985</v>
      </c>
      <c r="Y13" s="28">
        <f t="shared" si="1"/>
        <v>330.69370689660815</v>
      </c>
      <c r="Z13" s="29">
        <v>0</v>
      </c>
      <c r="AA13" s="27">
        <f t="shared" si="17"/>
        <v>1918.8923046277428</v>
      </c>
      <c r="AB13" s="27">
        <f t="shared" si="7"/>
        <v>3347.2596400430548</v>
      </c>
      <c r="AC13" s="30">
        <f t="shared" si="18"/>
        <v>4.7972307615693571E-2</v>
      </c>
      <c r="AD13" s="31">
        <f t="shared" si="2"/>
        <v>-1428.367335415312</v>
      </c>
      <c r="AE13" s="32">
        <f t="shared" si="19"/>
        <v>-119.03061128460934</v>
      </c>
      <c r="AF13" s="33">
        <f>AF12+AD13</f>
        <v>-12249.175871884048</v>
      </c>
      <c r="AG13" s="3">
        <f t="shared" ca="1" si="20"/>
        <v>49070</v>
      </c>
      <c r="AH13" s="34">
        <f>IF(AH12=0,0,IF((AH12=$AJ$4),0,IF($J13=$B$28+1,$AJ$4,AD13)))</f>
        <v>-1428.367335415312</v>
      </c>
      <c r="AI13" s="35">
        <f t="shared" si="8"/>
        <v>2830.5498907867063</v>
      </c>
      <c r="AJ13" s="35">
        <f t="shared" si="21"/>
        <v>25474.949017080362</v>
      </c>
    </row>
    <row r="14" spans="1:36">
      <c r="A14" s="46" t="s">
        <v>32</v>
      </c>
      <c r="B14" s="47">
        <v>5.5E-2</v>
      </c>
      <c r="J14" s="26">
        <f t="shared" si="23"/>
        <v>10</v>
      </c>
      <c r="K14" s="27">
        <f t="shared" si="10"/>
        <v>3347.2596400430548</v>
      </c>
      <c r="L14" s="28">
        <f t="shared" si="22"/>
        <v>2294.5777317548377</v>
      </c>
      <c r="M14" s="28">
        <f t="shared" si="0"/>
        <v>1450.0866762983283</v>
      </c>
      <c r="N14" s="28">
        <f t="shared" si="3"/>
        <v>0</v>
      </c>
      <c r="O14" s="28">
        <f t="shared" si="11"/>
        <v>1450.0866762983283</v>
      </c>
      <c r="P14" s="28">
        <f t="shared" si="12"/>
        <v>0</v>
      </c>
      <c r="Q14" s="28">
        <v>0</v>
      </c>
      <c r="R14" s="28">
        <f t="shared" si="13"/>
        <v>0</v>
      </c>
      <c r="S14" s="28">
        <f t="shared" si="14"/>
        <v>844.49105545650946</v>
      </c>
      <c r="T14" s="28">
        <f t="shared" si="15"/>
        <v>0</v>
      </c>
      <c r="U14" s="28">
        <f t="shared" si="16"/>
        <v>0</v>
      </c>
      <c r="V14" s="28">
        <f t="shared" si="4"/>
        <v>0</v>
      </c>
      <c r="W14" s="28">
        <f t="shared" si="5"/>
        <v>0</v>
      </c>
      <c r="X14" s="28">
        <f t="shared" si="6"/>
        <v>844.49105545650946</v>
      </c>
      <c r="Y14" s="28">
        <f t="shared" si="1"/>
        <v>398.59977817547247</v>
      </c>
      <c r="Z14" s="29">
        <v>0</v>
      </c>
      <c r="AA14" s="27">
        <f t="shared" si="17"/>
        <v>1895.9779535793652</v>
      </c>
      <c r="AB14" s="27">
        <f t="shared" si="7"/>
        <v>3347.2596400430548</v>
      </c>
      <c r="AC14" s="30">
        <f t="shared" si="18"/>
        <v>4.7399448839484132E-2</v>
      </c>
      <c r="AD14" s="31">
        <f t="shared" si="2"/>
        <v>-1451.2816864636895</v>
      </c>
      <c r="AE14" s="32">
        <f t="shared" si="19"/>
        <v>-120.94014053864079</v>
      </c>
      <c r="AF14" s="33">
        <f>AF13+AD14</f>
        <v>-13700.457558347738</v>
      </c>
      <c r="AG14" s="3">
        <f t="shared" ca="1" si="20"/>
        <v>49435</v>
      </c>
      <c r="AH14" s="34">
        <f>IF(AH13=0,0,IF((AH13=$AJ$4),0,IF($J14=$B$28+1,$AJ$4,AD14)))</f>
        <v>-1451.2816864636895</v>
      </c>
      <c r="AI14" s="35">
        <f t="shared" si="8"/>
        <v>2830.5498907867063</v>
      </c>
      <c r="AJ14" s="35">
        <f t="shared" si="21"/>
        <v>28305.49890786707</v>
      </c>
    </row>
    <row r="15" spans="1:36">
      <c r="A15" s="46" t="s">
        <v>33</v>
      </c>
      <c r="B15" s="47">
        <v>0</v>
      </c>
      <c r="J15" s="26">
        <f t="shared" si="23"/>
        <v>11</v>
      </c>
      <c r="K15" s="27">
        <f t="shared" si="10"/>
        <v>3347.2596400430548</v>
      </c>
      <c r="L15" s="28">
        <f t="shared" si="22"/>
        <v>2340.4692863899345</v>
      </c>
      <c r="M15" s="28">
        <f t="shared" si="0"/>
        <v>1345.6321572129016</v>
      </c>
      <c r="N15" s="28">
        <f t="shared" si="3"/>
        <v>0</v>
      </c>
      <c r="O15" s="28">
        <f t="shared" si="11"/>
        <v>1345.6321572129016</v>
      </c>
      <c r="P15" s="28">
        <f t="shared" si="12"/>
        <v>0</v>
      </c>
      <c r="Q15" s="28">
        <v>0</v>
      </c>
      <c r="R15" s="28">
        <f t="shared" si="13"/>
        <v>0</v>
      </c>
      <c r="S15" s="28">
        <f t="shared" si="14"/>
        <v>994.83712917703292</v>
      </c>
      <c r="T15" s="28">
        <f t="shared" si="15"/>
        <v>0</v>
      </c>
      <c r="U15" s="28">
        <f t="shared" si="16"/>
        <v>0</v>
      </c>
      <c r="V15" s="28">
        <f t="shared" si="4"/>
        <v>0</v>
      </c>
      <c r="W15" s="28">
        <f t="shared" si="5"/>
        <v>0</v>
      </c>
      <c r="X15" s="28">
        <f t="shared" si="6"/>
        <v>994.83712917703292</v>
      </c>
      <c r="Y15" s="28">
        <f t="shared" si="1"/>
        <v>469.56312497155949</v>
      </c>
      <c r="Z15" s="29">
        <v>0</v>
      </c>
      <c r="AA15" s="27">
        <f t="shared" si="17"/>
        <v>1870.9061614183749</v>
      </c>
      <c r="AB15" s="27">
        <f t="shared" si="7"/>
        <v>3347.2596400430548</v>
      </c>
      <c r="AC15" s="30">
        <f t="shared" si="18"/>
        <v>4.6772654035459375E-2</v>
      </c>
      <c r="AD15" s="31">
        <f t="shared" si="2"/>
        <v>-1476.3534786246798</v>
      </c>
      <c r="AE15" s="32">
        <f t="shared" si="19"/>
        <v>-123.02945655205666</v>
      </c>
      <c r="AF15" s="33">
        <f>AF14+AD15</f>
        <v>-15176.811036972418</v>
      </c>
      <c r="AG15" s="3">
        <f t="shared" ca="1" si="20"/>
        <v>49801</v>
      </c>
      <c r="AH15" s="34">
        <f>IF(AH14=0,0,IF((AH14=$AJ$4),0,IF($J15=$B$28+1,$AJ$4,AD15)))</f>
        <v>-1476.3534786246798</v>
      </c>
      <c r="AI15" s="35">
        <f t="shared" si="8"/>
        <v>2830.5498907867063</v>
      </c>
      <c r="AJ15" s="35">
        <f t="shared" si="21"/>
        <v>31136.048798653777</v>
      </c>
    </row>
    <row r="16" spans="1:36">
      <c r="A16" s="46" t="s">
        <v>34</v>
      </c>
      <c r="B16" s="48">
        <v>20</v>
      </c>
      <c r="J16" s="26">
        <f t="shared" si="23"/>
        <v>12</v>
      </c>
      <c r="K16" s="27">
        <f t="shared" si="10"/>
        <v>3347.2596400430548</v>
      </c>
      <c r="L16" s="28">
        <f t="shared" si="22"/>
        <v>2387.2786721177331</v>
      </c>
      <c r="M16" s="28">
        <f t="shared" si="0"/>
        <v>1235.2855821982662</v>
      </c>
      <c r="N16" s="28">
        <f t="shared" si="3"/>
        <v>0</v>
      </c>
      <c r="O16" s="28">
        <f t="shared" si="11"/>
        <v>1235.2855821982662</v>
      </c>
      <c r="P16" s="28">
        <f t="shared" si="12"/>
        <v>0</v>
      </c>
      <c r="Q16" s="28">
        <v>0</v>
      </c>
      <c r="R16" s="28">
        <f t="shared" si="13"/>
        <v>0</v>
      </c>
      <c r="S16" s="28">
        <f t="shared" si="14"/>
        <v>1151.9930899194669</v>
      </c>
      <c r="T16" s="28">
        <f t="shared" si="15"/>
        <v>0</v>
      </c>
      <c r="U16" s="28">
        <f t="shared" si="16"/>
        <v>0</v>
      </c>
      <c r="V16" s="28">
        <f t="shared" si="4"/>
        <v>0</v>
      </c>
      <c r="W16" s="28">
        <f t="shared" si="5"/>
        <v>0</v>
      </c>
      <c r="X16" s="28">
        <f t="shared" si="6"/>
        <v>1151.9930899194669</v>
      </c>
      <c r="Y16" s="28">
        <f t="shared" si="1"/>
        <v>543.74073844198836</v>
      </c>
      <c r="Z16" s="29">
        <v>0</v>
      </c>
      <c r="AA16" s="27">
        <f t="shared" si="17"/>
        <v>1843.5379336757446</v>
      </c>
      <c r="AB16" s="27">
        <f t="shared" si="7"/>
        <v>3347.2596400430548</v>
      </c>
      <c r="AC16" s="30">
        <f t="shared" si="18"/>
        <v>4.6088448341893615E-2</v>
      </c>
      <c r="AD16" s="31">
        <f t="shared" si="2"/>
        <v>-1503.7217063673102</v>
      </c>
      <c r="AE16" s="32">
        <f t="shared" si="19"/>
        <v>-125.31014219727585</v>
      </c>
      <c r="AF16" s="33">
        <f>AF15+AD16</f>
        <v>-16680.532743339729</v>
      </c>
      <c r="AG16" s="3">
        <f t="shared" ca="1" si="20"/>
        <v>50166</v>
      </c>
      <c r="AH16" s="34">
        <f>IF(AH15=0,0,IF((AH15=$AJ$4),0,IF($J16=$B$28+1,$AJ$4,AD16)))</f>
        <v>-1503.7217063673102</v>
      </c>
      <c r="AI16" s="35">
        <f t="shared" si="8"/>
        <v>2830.5498907867063</v>
      </c>
      <c r="AJ16" s="35">
        <f t="shared" si="21"/>
        <v>33966.598689440485</v>
      </c>
    </row>
    <row r="17" spans="1:36" ht="13">
      <c r="A17" s="49" t="s">
        <v>35</v>
      </c>
      <c r="B17" s="50">
        <f>-PMT(B14/12,B16*12,(B10+B10*B14/12*3),0,0)</f>
        <v>278.93830333692125</v>
      </c>
      <c r="C17" s="51"/>
      <c r="J17" s="26">
        <f t="shared" si="23"/>
        <v>13</v>
      </c>
      <c r="K17" s="27">
        <f t="shared" si="10"/>
        <v>3347.2596400430548</v>
      </c>
      <c r="L17" s="28">
        <f t="shared" si="22"/>
        <v>2435.0242455600878</v>
      </c>
      <c r="M17" s="28">
        <f t="shared" si="0"/>
        <v>1118.714592986184</v>
      </c>
      <c r="N17" s="28">
        <f t="shared" si="3"/>
        <v>0</v>
      </c>
      <c r="O17" s="28">
        <f t="shared" si="11"/>
        <v>1118.714592986184</v>
      </c>
      <c r="P17" s="28">
        <f t="shared" si="12"/>
        <v>0</v>
      </c>
      <c r="Q17" s="28">
        <v>0</v>
      </c>
      <c r="R17" s="28">
        <f t="shared" si="13"/>
        <v>0</v>
      </c>
      <c r="S17" s="28">
        <f t="shared" si="14"/>
        <v>1316.3096525739038</v>
      </c>
      <c r="T17" s="28">
        <f t="shared" si="15"/>
        <v>0</v>
      </c>
      <c r="U17" s="28">
        <f t="shared" si="16"/>
        <v>0</v>
      </c>
      <c r="V17" s="28">
        <f t="shared" si="4"/>
        <v>0</v>
      </c>
      <c r="W17" s="28">
        <f t="shared" si="5"/>
        <v>0</v>
      </c>
      <c r="X17" s="28">
        <f t="shared" si="6"/>
        <v>1316.3096525739038</v>
      </c>
      <c r="Y17" s="28">
        <f t="shared" si="1"/>
        <v>621.29815601488258</v>
      </c>
      <c r="Z17" s="29">
        <v>0</v>
      </c>
      <c r="AA17" s="27">
        <f t="shared" si="17"/>
        <v>1813.7260895452052</v>
      </c>
      <c r="AB17" s="27">
        <f t="shared" si="7"/>
        <v>3347.2596400430548</v>
      </c>
      <c r="AC17" s="30">
        <f t="shared" si="18"/>
        <v>4.5343152238630134E-2</v>
      </c>
      <c r="AD17" s="31">
        <f t="shared" si="2"/>
        <v>-1533.5335504978495</v>
      </c>
      <c r="AE17" s="32">
        <f t="shared" si="19"/>
        <v>-127.79446254148746</v>
      </c>
      <c r="AF17" s="33">
        <f>AF16+AD17</f>
        <v>-18214.066293837579</v>
      </c>
      <c r="AG17" s="3">
        <f t="shared" ca="1" si="20"/>
        <v>50531</v>
      </c>
      <c r="AH17" s="34">
        <f>IF(AH16=0,0,IF((AH16=$AJ$4),0,IF($J17=$B$28+1,$AJ$4,AD17)))</f>
        <v>-1533.5335504978495</v>
      </c>
      <c r="AI17" s="35">
        <f t="shared" si="8"/>
        <v>2830.5498907867063</v>
      </c>
      <c r="AJ17" s="35">
        <f t="shared" si="21"/>
        <v>36797.148580227193</v>
      </c>
    </row>
    <row r="18" spans="1:36" ht="13">
      <c r="A18" s="52" t="s">
        <v>36</v>
      </c>
      <c r="B18" s="53">
        <f>-PMT(B14/12,B16*12,(B10+B10*B14/12*3),0,0)+N5/12</f>
        <v>278.93830333692125</v>
      </c>
      <c r="J18" s="26">
        <f t="shared" si="23"/>
        <v>14</v>
      </c>
      <c r="K18" s="27">
        <f t="shared" si="10"/>
        <v>3347.2596400430548</v>
      </c>
      <c r="L18" s="28">
        <f t="shared" si="22"/>
        <v>2483.7247304712896</v>
      </c>
      <c r="M18" s="28">
        <f t="shared" si="0"/>
        <v>995.56808368962174</v>
      </c>
      <c r="N18" s="28">
        <f t="shared" si="3"/>
        <v>0</v>
      </c>
      <c r="O18" s="28">
        <f t="shared" si="11"/>
        <v>995.56808368962174</v>
      </c>
      <c r="P18" s="28">
        <f t="shared" si="12"/>
        <v>0</v>
      </c>
      <c r="Q18" s="28">
        <v>0</v>
      </c>
      <c r="R18" s="28">
        <f t="shared" si="13"/>
        <v>0</v>
      </c>
      <c r="S18" s="28">
        <f t="shared" si="14"/>
        <v>1488.1566467816679</v>
      </c>
      <c r="T18" s="28">
        <f t="shared" si="15"/>
        <v>0</v>
      </c>
      <c r="U18" s="28">
        <f t="shared" si="16"/>
        <v>0</v>
      </c>
      <c r="V18" s="28">
        <f t="shared" si="4"/>
        <v>0</v>
      </c>
      <c r="W18" s="28">
        <f t="shared" si="5"/>
        <v>0</v>
      </c>
      <c r="X18" s="28">
        <f t="shared" si="6"/>
        <v>1488.1566467816679</v>
      </c>
      <c r="Y18" s="28">
        <f t="shared" si="1"/>
        <v>702.40993728094725</v>
      </c>
      <c r="Z18" s="29">
        <v>0</v>
      </c>
      <c r="AA18" s="27">
        <f t="shared" si="17"/>
        <v>1781.3147931903422</v>
      </c>
      <c r="AB18" s="27">
        <f t="shared" si="7"/>
        <v>3347.2596400430548</v>
      </c>
      <c r="AC18" s="30">
        <f t="shared" si="18"/>
        <v>4.4532869829758556E-2</v>
      </c>
      <c r="AD18" s="31">
        <f t="shared" si="2"/>
        <v>-1565.9448468527125</v>
      </c>
      <c r="AE18" s="32">
        <f t="shared" si="19"/>
        <v>-130.4954039043927</v>
      </c>
      <c r="AF18" s="33">
        <f>AF17+AD18</f>
        <v>-19780.011140690291</v>
      </c>
      <c r="AG18" s="3">
        <f t="shared" ca="1" si="20"/>
        <v>50896</v>
      </c>
      <c r="AH18" s="34">
        <f>IF(AH17=0,0,IF((AH17=$AJ$4),0,IF($J18=$B$28+1,$AJ$4,AD18)))</f>
        <v>-1565.9448468527125</v>
      </c>
      <c r="AI18" s="35">
        <f t="shared" si="8"/>
        <v>2830.5498907867063</v>
      </c>
      <c r="AJ18" s="35">
        <f t="shared" si="21"/>
        <v>39627.6984710139</v>
      </c>
    </row>
    <row r="19" spans="1:36">
      <c r="J19" s="26">
        <f t="shared" si="23"/>
        <v>15</v>
      </c>
      <c r="K19" s="27">
        <f t="shared" si="10"/>
        <v>3347.2596400430548</v>
      </c>
      <c r="L19" s="28">
        <f t="shared" si="22"/>
        <v>2533.3992250807155</v>
      </c>
      <c r="M19" s="28">
        <f t="shared" si="0"/>
        <v>865.47514328969373</v>
      </c>
      <c r="N19" s="28">
        <f t="shared" si="3"/>
        <v>0</v>
      </c>
      <c r="O19" s="28">
        <f t="shared" si="11"/>
        <v>865.47514328969373</v>
      </c>
      <c r="P19" s="28">
        <f t="shared" si="12"/>
        <v>0</v>
      </c>
      <c r="Q19" s="28">
        <v>0</v>
      </c>
      <c r="R19" s="28">
        <f t="shared" si="13"/>
        <v>0</v>
      </c>
      <c r="S19" s="28">
        <f t="shared" si="14"/>
        <v>1667.9240817910218</v>
      </c>
      <c r="T19" s="28">
        <f t="shared" si="15"/>
        <v>0</v>
      </c>
      <c r="U19" s="28">
        <f t="shared" si="16"/>
        <v>0</v>
      </c>
      <c r="V19" s="28">
        <f t="shared" si="4"/>
        <v>0</v>
      </c>
      <c r="W19" s="28">
        <f t="shared" si="5"/>
        <v>0</v>
      </c>
      <c r="X19" s="28">
        <f t="shared" si="6"/>
        <v>1667.9240817910218</v>
      </c>
      <c r="Y19" s="28">
        <f t="shared" si="1"/>
        <v>787.2601666053622</v>
      </c>
      <c r="Z19" s="29">
        <v>0</v>
      </c>
      <c r="AA19" s="27">
        <f t="shared" si="17"/>
        <v>1746.1390584753533</v>
      </c>
      <c r="AB19" s="27">
        <f t="shared" si="7"/>
        <v>3347.2596400430548</v>
      </c>
      <c r="AC19" s="30">
        <f t="shared" si="18"/>
        <v>4.3653476461883833E-2</v>
      </c>
      <c r="AD19" s="31">
        <f t="shared" si="2"/>
        <v>-1601.1205815677015</v>
      </c>
      <c r="AE19" s="32">
        <f t="shared" si="19"/>
        <v>-133.42671513064178</v>
      </c>
      <c r="AF19" s="33">
        <f>AF18+AD19</f>
        <v>-21381.131722257993</v>
      </c>
      <c r="AG19" s="3">
        <f t="shared" ca="1" si="20"/>
        <v>51262</v>
      </c>
      <c r="AH19" s="34">
        <f>IF(AH18=0,0,IF((AH18=$AJ$4),0,IF($J19=$B$28+1,$AJ$4,AD19)))</f>
        <v>-1601.1205815677015</v>
      </c>
      <c r="AI19" s="35">
        <f t="shared" si="8"/>
        <v>2830.5498907867063</v>
      </c>
      <c r="AJ19" s="35">
        <f t="shared" si="21"/>
        <v>42458.248361800608</v>
      </c>
    </row>
    <row r="20" spans="1:36" ht="18">
      <c r="A20" s="6" t="s">
        <v>37</v>
      </c>
      <c r="B20" s="7"/>
      <c r="J20" s="26">
        <f t="shared" si="23"/>
        <v>16</v>
      </c>
      <c r="K20" s="27">
        <f t="shared" si="10"/>
        <v>3347.2596400430548</v>
      </c>
      <c r="L20" s="28">
        <f t="shared" si="22"/>
        <v>2584.0672095823297</v>
      </c>
      <c r="M20" s="28">
        <f t="shared" si="0"/>
        <v>728.0439384705428</v>
      </c>
      <c r="N20" s="28">
        <f t="shared" si="3"/>
        <v>0</v>
      </c>
      <c r="O20" s="28">
        <f t="shared" si="11"/>
        <v>728.0439384705428</v>
      </c>
      <c r="P20" s="28">
        <f t="shared" si="12"/>
        <v>0</v>
      </c>
      <c r="Q20" s="28">
        <v>0</v>
      </c>
      <c r="R20" s="28">
        <f t="shared" si="13"/>
        <v>0</v>
      </c>
      <c r="S20" s="28">
        <f t="shared" si="14"/>
        <v>1856.0232711117869</v>
      </c>
      <c r="T20" s="28">
        <f t="shared" si="15"/>
        <v>0</v>
      </c>
      <c r="U20" s="28">
        <f t="shared" si="16"/>
        <v>0</v>
      </c>
      <c r="V20" s="28">
        <f t="shared" si="4"/>
        <v>0</v>
      </c>
      <c r="W20" s="28">
        <f t="shared" si="5"/>
        <v>0</v>
      </c>
      <c r="X20" s="28">
        <f t="shared" si="6"/>
        <v>1856.0232711117869</v>
      </c>
      <c r="Y20" s="28">
        <f t="shared" si="1"/>
        <v>876.04298396476338</v>
      </c>
      <c r="Z20" s="29">
        <v>0</v>
      </c>
      <c r="AA20" s="27">
        <f t="shared" si="17"/>
        <v>1708.0242256175663</v>
      </c>
      <c r="AB20" s="27">
        <f t="shared" si="7"/>
        <v>3347.2596400430548</v>
      </c>
      <c r="AC20" s="30">
        <f t="shared" si="18"/>
        <v>4.2700605640439156E-2</v>
      </c>
      <c r="AD20" s="31">
        <f t="shared" si="2"/>
        <v>-1639.2354144254884</v>
      </c>
      <c r="AE20" s="32">
        <f t="shared" si="19"/>
        <v>-136.60295120212405</v>
      </c>
      <c r="AF20" s="33">
        <f>AF19+AD20</f>
        <v>-23020.367136683482</v>
      </c>
      <c r="AG20" s="3">
        <f t="shared" ca="1" si="20"/>
        <v>51627</v>
      </c>
      <c r="AH20" s="34">
        <f>IF(AH19=0,0,IF((AH19=$AJ$4),0,IF($J20=$B$28+1,$AJ$4,AD20)))</f>
        <v>-1639.2354144254884</v>
      </c>
      <c r="AI20" s="35">
        <f t="shared" si="8"/>
        <v>2830.5498907867063</v>
      </c>
      <c r="AJ20" s="35">
        <f t="shared" si="21"/>
        <v>45288.798252587316</v>
      </c>
    </row>
    <row r="21" spans="1:36">
      <c r="A21" s="54" t="s">
        <v>38</v>
      </c>
      <c r="B21" s="55">
        <v>0.3</v>
      </c>
      <c r="C21" s="56">
        <v>3</v>
      </c>
      <c r="H21" s="56"/>
      <c r="J21" s="26">
        <f t="shared" si="23"/>
        <v>17</v>
      </c>
      <c r="K21" s="27">
        <f t="shared" si="10"/>
        <v>3347.2596400430548</v>
      </c>
      <c r="L21" s="28">
        <f t="shared" si="22"/>
        <v>2635.7485537739763</v>
      </c>
      <c r="M21" s="28">
        <f t="shared" si="0"/>
        <v>582.86053343733693</v>
      </c>
      <c r="N21" s="28">
        <f t="shared" si="3"/>
        <v>0</v>
      </c>
      <c r="O21" s="28">
        <f t="shared" si="11"/>
        <v>582.86053343733693</v>
      </c>
      <c r="P21" s="28">
        <f t="shared" si="12"/>
        <v>0</v>
      </c>
      <c r="Q21" s="28">
        <v>0</v>
      </c>
      <c r="R21" s="28">
        <f t="shared" si="13"/>
        <v>0</v>
      </c>
      <c r="S21" s="28">
        <f t="shared" si="14"/>
        <v>2052.8880203366393</v>
      </c>
      <c r="T21" s="28">
        <f t="shared" si="15"/>
        <v>0</v>
      </c>
      <c r="U21" s="28">
        <f t="shared" si="16"/>
        <v>0</v>
      </c>
      <c r="V21" s="28">
        <f t="shared" si="4"/>
        <v>0</v>
      </c>
      <c r="W21" s="28">
        <f t="shared" si="5"/>
        <v>0</v>
      </c>
      <c r="X21" s="28">
        <f t="shared" si="6"/>
        <v>2052.8880203366393</v>
      </c>
      <c r="Y21" s="28">
        <f t="shared" si="1"/>
        <v>968.96314559889368</v>
      </c>
      <c r="Z21" s="29">
        <v>0</v>
      </c>
      <c r="AA21" s="27">
        <f t="shared" si="17"/>
        <v>1666.7854081750825</v>
      </c>
      <c r="AB21" s="27">
        <f t="shared" si="7"/>
        <v>3347.2596400430548</v>
      </c>
      <c r="AC21" s="30">
        <f t="shared" si="18"/>
        <v>4.166963520437706E-2</v>
      </c>
      <c r="AD21" s="31">
        <f t="shared" si="2"/>
        <v>-1680.4742318679723</v>
      </c>
      <c r="AE21" s="32">
        <f t="shared" si="19"/>
        <v>-140.03951932233102</v>
      </c>
      <c r="AF21" s="33">
        <f>AF20+AD21</f>
        <v>-24700.841368551453</v>
      </c>
      <c r="AG21" s="3">
        <f t="shared" ca="1" si="20"/>
        <v>51992</v>
      </c>
      <c r="AH21" s="34">
        <f>IF(AH20=0,0,IF((AH20=$AJ$4),0,IF($J21=$B$28+1,$AJ$4,AD21)))</f>
        <v>-1680.4742318679723</v>
      </c>
      <c r="AI21" s="35">
        <f t="shared" si="8"/>
        <v>2830.5498907867063</v>
      </c>
      <c r="AJ21" s="35">
        <f t="shared" si="21"/>
        <v>48119.348143374023</v>
      </c>
    </row>
    <row r="22" spans="1:36">
      <c r="A22" s="57" t="s">
        <v>39</v>
      </c>
      <c r="B22" s="38">
        <v>0.17199999999999999</v>
      </c>
      <c r="C22" s="4">
        <v>1000</v>
      </c>
      <c r="J22" s="26">
        <f t="shared" si="23"/>
        <v>18</v>
      </c>
      <c r="K22" s="27">
        <f t="shared" si="10"/>
        <v>3347.2596400430548</v>
      </c>
      <c r="L22" s="28">
        <f t="shared" si="22"/>
        <v>2688.463524849456</v>
      </c>
      <c r="M22" s="28">
        <f t="shared" si="0"/>
        <v>429.48764316272127</v>
      </c>
      <c r="N22" s="28">
        <f t="shared" si="3"/>
        <v>0</v>
      </c>
      <c r="O22" s="28">
        <f t="shared" si="11"/>
        <v>429.48764316272127</v>
      </c>
      <c r="P22" s="28">
        <f t="shared" si="12"/>
        <v>0</v>
      </c>
      <c r="Q22" s="28">
        <v>0</v>
      </c>
      <c r="R22" s="28">
        <f t="shared" si="13"/>
        <v>0</v>
      </c>
      <c r="S22" s="28">
        <f t="shared" si="14"/>
        <v>2258.9758816867347</v>
      </c>
      <c r="T22" s="28">
        <f t="shared" si="15"/>
        <v>0</v>
      </c>
      <c r="U22" s="28">
        <f t="shared" si="16"/>
        <v>0</v>
      </c>
      <c r="V22" s="28">
        <f t="shared" si="4"/>
        <v>0</v>
      </c>
      <c r="W22" s="28">
        <f t="shared" si="5"/>
        <v>0</v>
      </c>
      <c r="X22" s="28">
        <f t="shared" si="6"/>
        <v>2258.9758816867347</v>
      </c>
      <c r="Y22" s="28">
        <f t="shared" si="1"/>
        <v>1066.2366161561388</v>
      </c>
      <c r="Z22" s="29">
        <v>0</v>
      </c>
      <c r="AA22" s="27">
        <f t="shared" si="17"/>
        <v>1622.2269086933172</v>
      </c>
      <c r="AB22" s="27">
        <f t="shared" si="7"/>
        <v>3347.2596400430548</v>
      </c>
      <c r="AC22" s="30">
        <f t="shared" si="18"/>
        <v>4.055567271733293E-2</v>
      </c>
      <c r="AD22" s="31">
        <f t="shared" si="2"/>
        <v>-1725.0327313497376</v>
      </c>
      <c r="AE22" s="32">
        <f t="shared" si="19"/>
        <v>-143.75272761247814</v>
      </c>
      <c r="AF22" s="33">
        <f>AF21+AD22</f>
        <v>-26425.87409990119</v>
      </c>
      <c r="AG22" s="3">
        <f t="shared" ca="1" si="20"/>
        <v>52357</v>
      </c>
      <c r="AH22" s="34">
        <f>IF(AH21=0,0,IF((AH21=$AJ$4),0,IF($J22=$B$28+1,$AJ$4,AD22)))</f>
        <v>-1725.0327313497376</v>
      </c>
      <c r="AI22" s="35">
        <f t="shared" si="8"/>
        <v>2830.5498907867063</v>
      </c>
      <c r="AJ22" s="35">
        <f t="shared" si="21"/>
        <v>50949.898034160731</v>
      </c>
    </row>
    <row r="23" spans="1:36" ht="13">
      <c r="A23" s="52" t="s">
        <v>40</v>
      </c>
      <c r="B23" s="58">
        <f>B21+B22</f>
        <v>0.47199999999999998</v>
      </c>
      <c r="C23" s="4">
        <v>1500</v>
      </c>
      <c r="J23" s="26">
        <f t="shared" si="23"/>
        <v>19</v>
      </c>
      <c r="K23" s="27">
        <f t="shared" si="10"/>
        <v>3347.2596400430548</v>
      </c>
      <c r="L23" s="28">
        <f t="shared" si="22"/>
        <v>2742.2327953464451</v>
      </c>
      <c r="M23" s="28">
        <f t="shared" si="0"/>
        <v>267.46331630656914</v>
      </c>
      <c r="N23" s="28">
        <f t="shared" si="3"/>
        <v>0</v>
      </c>
      <c r="O23" s="28">
        <f t="shared" si="11"/>
        <v>267.46331630656914</v>
      </c>
      <c r="P23" s="28">
        <f t="shared" si="12"/>
        <v>0</v>
      </c>
      <c r="Q23" s="28">
        <v>0</v>
      </c>
      <c r="R23" s="28">
        <f t="shared" si="13"/>
        <v>0</v>
      </c>
      <c r="S23" s="28">
        <f t="shared" si="14"/>
        <v>2474.7694790398759</v>
      </c>
      <c r="T23" s="28">
        <f t="shared" si="15"/>
        <v>0</v>
      </c>
      <c r="U23" s="28">
        <f t="shared" si="16"/>
        <v>0</v>
      </c>
      <c r="V23" s="28">
        <f t="shared" si="4"/>
        <v>0</v>
      </c>
      <c r="W23" s="28">
        <f t="shared" si="5"/>
        <v>0</v>
      </c>
      <c r="X23" s="28">
        <f t="shared" si="6"/>
        <v>2474.7694790398759</v>
      </c>
      <c r="Y23" s="28">
        <f t="shared" si="1"/>
        <v>1168.0911941068214</v>
      </c>
      <c r="Z23" s="29">
        <v>0</v>
      </c>
      <c r="AA23" s="27">
        <f t="shared" si="17"/>
        <v>1574.1416012396237</v>
      </c>
      <c r="AB23" s="27">
        <f t="shared" si="7"/>
        <v>3347.2596400430548</v>
      </c>
      <c r="AC23" s="30">
        <f t="shared" si="18"/>
        <v>3.9353540030990591E-2</v>
      </c>
      <c r="AD23" s="31">
        <f t="shared" si="2"/>
        <v>-1773.1180388034311</v>
      </c>
      <c r="AE23" s="32">
        <f t="shared" si="19"/>
        <v>-147.7598365669526</v>
      </c>
      <c r="AF23" s="33">
        <f>AF22+AD23</f>
        <v>-28198.99213870462</v>
      </c>
      <c r="AG23" s="3">
        <f t="shared" ca="1" si="20"/>
        <v>52723</v>
      </c>
      <c r="AH23" s="34">
        <f>IF(AH22=0,0,IF((AH22=$AJ$4),0,IF($J23=$B$28+1,$AJ$4,AD23)))</f>
        <v>50949.898034160731</v>
      </c>
      <c r="AI23" s="35">
        <f t="shared" si="8"/>
        <v>2830.5498907867063</v>
      </c>
      <c r="AJ23" s="35">
        <f t="shared" si="21"/>
        <v>53780.447924947439</v>
      </c>
    </row>
    <row r="24" spans="1:36">
      <c r="J24" s="26">
        <f t="shared" si="23"/>
        <v>20</v>
      </c>
      <c r="K24" s="27">
        <f t="shared" si="10"/>
        <v>3347.2596400430548</v>
      </c>
      <c r="L24" s="28">
        <f t="shared" si="22"/>
        <v>2797.077451253374</v>
      </c>
      <c r="M24" s="28">
        <f t="shared" si="0"/>
        <v>96.2995438420553</v>
      </c>
      <c r="N24" s="28">
        <f t="shared" si="3"/>
        <v>0</v>
      </c>
      <c r="O24" s="28">
        <f t="shared" si="11"/>
        <v>96.2995438420553</v>
      </c>
      <c r="P24" s="28">
        <f t="shared" si="12"/>
        <v>0</v>
      </c>
      <c r="Q24" s="28">
        <v>0</v>
      </c>
      <c r="R24" s="28">
        <f t="shared" si="13"/>
        <v>0</v>
      </c>
      <c r="S24" s="28">
        <f t="shared" si="14"/>
        <v>2700.7779074113187</v>
      </c>
      <c r="T24" s="28">
        <f t="shared" si="15"/>
        <v>0</v>
      </c>
      <c r="U24" s="28">
        <f t="shared" si="16"/>
        <v>0</v>
      </c>
      <c r="V24" s="28">
        <f t="shared" si="4"/>
        <v>0</v>
      </c>
      <c r="W24" s="28">
        <f t="shared" si="5"/>
        <v>0</v>
      </c>
      <c r="X24" s="28">
        <f t="shared" si="6"/>
        <v>2700.7779074113187</v>
      </c>
      <c r="Y24" s="28">
        <f t="shared" si="1"/>
        <v>1274.7671722981424</v>
      </c>
      <c r="Z24" s="29">
        <v>0</v>
      </c>
      <c r="AA24" s="27">
        <f t="shared" si="17"/>
        <v>1522.3102789552315</v>
      </c>
      <c r="AB24" s="27">
        <f t="shared" si="7"/>
        <v>3347.2596400430548</v>
      </c>
      <c r="AC24" s="30">
        <f t="shared" si="18"/>
        <v>3.8057756973880787E-2</v>
      </c>
      <c r="AD24" s="31">
        <f t="shared" si="2"/>
        <v>-1824.9493610878233</v>
      </c>
      <c r="AE24" s="32">
        <f t="shared" si="19"/>
        <v>-152.07911342398526</v>
      </c>
      <c r="AF24" s="33">
        <f>AF23+AD24</f>
        <v>-30023.941499792443</v>
      </c>
      <c r="AG24" s="3">
        <f t="shared" ca="1" si="20"/>
        <v>52723</v>
      </c>
      <c r="AH24" s="34">
        <f>IF(AH23=0,0,IF((AH23=$AJ$4),0,IF($J24=$B$28+1,$AJ$4,AD24)))</f>
        <v>0</v>
      </c>
      <c r="AI24" s="35">
        <f t="shared" si="8"/>
        <v>2830.5498907867063</v>
      </c>
      <c r="AJ24" s="35">
        <f t="shared" si="21"/>
        <v>56610.997815734147</v>
      </c>
    </row>
    <row r="25" spans="1:36" ht="18">
      <c r="A25" s="59" t="s">
        <v>41</v>
      </c>
      <c r="B25" s="60"/>
      <c r="C25" s="4">
        <f>(C23/C22)^(1/C21)-1</f>
        <v>0.14471424255333187</v>
      </c>
      <c r="J25" s="26">
        <f t="shared" si="23"/>
        <v>21</v>
      </c>
      <c r="K25" s="27">
        <f t="shared" si="10"/>
        <v>0</v>
      </c>
      <c r="L25" s="28">
        <f t="shared" si="22"/>
        <v>2853.0190002784416</v>
      </c>
      <c r="M25" s="28">
        <f t="shared" si="0"/>
        <v>0</v>
      </c>
      <c r="N25" s="28">
        <f t="shared" si="3"/>
        <v>0</v>
      </c>
      <c r="O25" s="28">
        <f t="shared" si="11"/>
        <v>0</v>
      </c>
      <c r="P25" s="28">
        <f t="shared" si="12"/>
        <v>0</v>
      </c>
      <c r="Q25" s="28">
        <v>0</v>
      </c>
      <c r="R25" s="28">
        <f t="shared" si="13"/>
        <v>0</v>
      </c>
      <c r="S25" s="28">
        <f t="shared" si="14"/>
        <v>2853.0190002784416</v>
      </c>
      <c r="T25" s="28">
        <f t="shared" si="15"/>
        <v>0</v>
      </c>
      <c r="U25" s="28">
        <f t="shared" si="16"/>
        <v>0</v>
      </c>
      <c r="V25" s="28">
        <f t="shared" si="4"/>
        <v>0</v>
      </c>
      <c r="W25" s="28">
        <f t="shared" si="5"/>
        <v>0</v>
      </c>
      <c r="X25" s="28">
        <f t="shared" si="6"/>
        <v>2853.0190002784416</v>
      </c>
      <c r="Y25" s="28">
        <f t="shared" si="1"/>
        <v>1346.6249681314243</v>
      </c>
      <c r="Z25" s="29">
        <v>0</v>
      </c>
      <c r="AA25" s="27">
        <f t="shared" si="17"/>
        <v>1506.3940321470172</v>
      </c>
      <c r="AB25" s="27">
        <f t="shared" si="7"/>
        <v>0</v>
      </c>
      <c r="AC25" s="30">
        <f t="shared" si="18"/>
        <v>3.7659850803675433E-2</v>
      </c>
      <c r="AD25" s="31">
        <f t="shared" si="2"/>
        <v>1506.3940321470172</v>
      </c>
      <c r="AE25" s="32">
        <f t="shared" si="19"/>
        <v>125.53283601225144</v>
      </c>
      <c r="AF25" s="33">
        <f>AF24+AD25</f>
        <v>-28517.547467645425</v>
      </c>
      <c r="AG25" s="3">
        <f t="shared" ca="1" si="20"/>
        <v>52723</v>
      </c>
      <c r="AH25" s="34">
        <f>IF(AH24=0,0,IF((AH24=$AJ$4),0,IF($J25=$B$28+1,$AJ$4,AD25)))</f>
        <v>0</v>
      </c>
      <c r="AI25" s="35">
        <f t="shared" si="8"/>
        <v>2830.5498907867063</v>
      </c>
      <c r="AJ25" s="35">
        <f t="shared" si="21"/>
        <v>59441.547706520854</v>
      </c>
    </row>
    <row r="26" spans="1:36">
      <c r="A26" s="61"/>
      <c r="B26" s="62"/>
      <c r="J26" s="26">
        <f t="shared" si="23"/>
        <v>22</v>
      </c>
      <c r="K26" s="27">
        <f t="shared" si="10"/>
        <v>0</v>
      </c>
      <c r="L26" s="28">
        <f t="shared" si="22"/>
        <v>2910.0793802840103</v>
      </c>
      <c r="M26" s="28">
        <f t="shared" si="0"/>
        <v>0</v>
      </c>
      <c r="N26" s="28">
        <f t="shared" si="3"/>
        <v>0</v>
      </c>
      <c r="O26" s="28">
        <f t="shared" si="11"/>
        <v>0</v>
      </c>
      <c r="P26" s="28">
        <f t="shared" si="12"/>
        <v>0</v>
      </c>
      <c r="Q26" s="28">
        <v>0</v>
      </c>
      <c r="R26" s="28">
        <f t="shared" si="13"/>
        <v>0</v>
      </c>
      <c r="S26" s="28">
        <f t="shared" si="14"/>
        <v>2910.0793802840103</v>
      </c>
      <c r="T26" s="28">
        <f t="shared" si="15"/>
        <v>0</v>
      </c>
      <c r="U26" s="28">
        <f t="shared" si="16"/>
        <v>0</v>
      </c>
      <c r="V26" s="28">
        <f t="shared" si="4"/>
        <v>0</v>
      </c>
      <c r="W26" s="28">
        <f t="shared" si="5"/>
        <v>0</v>
      </c>
      <c r="X26" s="28">
        <f t="shared" si="6"/>
        <v>2910.0793802840103</v>
      </c>
      <c r="Y26" s="28">
        <f t="shared" si="1"/>
        <v>1373.5574674940528</v>
      </c>
      <c r="Z26" s="29">
        <v>0</v>
      </c>
      <c r="AA26" s="27">
        <f t="shared" si="17"/>
        <v>1536.5219127899575</v>
      </c>
      <c r="AB26" s="27">
        <f t="shared" si="7"/>
        <v>0</v>
      </c>
      <c r="AC26" s="30">
        <f t="shared" si="18"/>
        <v>3.8413047819748934E-2</v>
      </c>
      <c r="AD26" s="31">
        <f t="shared" si="2"/>
        <v>1536.5219127899575</v>
      </c>
      <c r="AE26" s="32">
        <f t="shared" si="19"/>
        <v>128.04349273249645</v>
      </c>
      <c r="AF26" s="33">
        <f>AF25+AD26</f>
        <v>-26981.025554855467</v>
      </c>
      <c r="AG26" s="3">
        <f t="shared" ca="1" si="20"/>
        <v>52723</v>
      </c>
      <c r="AH26" s="34">
        <f>IF(AH25=0,0,IF((AH25=$AJ$4),0,IF($J26=$B$28+1,$AJ$4,AD26)))</f>
        <v>0</v>
      </c>
      <c r="AI26" s="35">
        <f t="shared" si="8"/>
        <v>2830.5498907867063</v>
      </c>
      <c r="AJ26" s="35">
        <f t="shared" si="21"/>
        <v>62272.097597307562</v>
      </c>
    </row>
    <row r="27" spans="1:36">
      <c r="A27" s="63" t="s">
        <v>42</v>
      </c>
      <c r="B27" s="64">
        <f>B17+N22/12</f>
        <v>278.93830333692125</v>
      </c>
      <c r="J27" s="26">
        <f t="shared" si="23"/>
        <v>23</v>
      </c>
      <c r="K27" s="27">
        <f t="shared" si="10"/>
        <v>0</v>
      </c>
      <c r="L27" s="28">
        <f t="shared" si="22"/>
        <v>2968.2809678896906</v>
      </c>
      <c r="M27" s="28">
        <f t="shared" si="0"/>
        <v>0</v>
      </c>
      <c r="N27" s="28">
        <f t="shared" si="3"/>
        <v>0</v>
      </c>
      <c r="O27" s="28">
        <f t="shared" si="11"/>
        <v>0</v>
      </c>
      <c r="P27" s="28">
        <f t="shared" si="12"/>
        <v>0</v>
      </c>
      <c r="Q27" s="28">
        <v>0</v>
      </c>
      <c r="R27" s="28">
        <f t="shared" si="13"/>
        <v>0</v>
      </c>
      <c r="S27" s="28">
        <f t="shared" si="14"/>
        <v>2968.2809678896906</v>
      </c>
      <c r="T27" s="28">
        <f t="shared" si="15"/>
        <v>0</v>
      </c>
      <c r="U27" s="28">
        <f t="shared" si="16"/>
        <v>0</v>
      </c>
      <c r="V27" s="28">
        <f t="shared" si="4"/>
        <v>0</v>
      </c>
      <c r="W27" s="28">
        <f t="shared" si="5"/>
        <v>0</v>
      </c>
      <c r="X27" s="28">
        <f t="shared" si="6"/>
        <v>2968.2809678896906</v>
      </c>
      <c r="Y27" s="28">
        <f t="shared" si="1"/>
        <v>1401.0286168439338</v>
      </c>
      <c r="Z27" s="29">
        <v>0</v>
      </c>
      <c r="AA27" s="27">
        <f t="shared" si="17"/>
        <v>1567.2523510457568</v>
      </c>
      <c r="AB27" s="27">
        <f t="shared" si="7"/>
        <v>0</v>
      </c>
      <c r="AC27" s="30">
        <f t="shared" si="18"/>
        <v>3.9181308776143918E-2</v>
      </c>
      <c r="AD27" s="31">
        <f t="shared" si="2"/>
        <v>1567.2523510457568</v>
      </c>
      <c r="AE27" s="32">
        <f t="shared" si="19"/>
        <v>130.6043625871464</v>
      </c>
      <c r="AF27" s="33">
        <f>AF26+AD27</f>
        <v>-25413.773203809709</v>
      </c>
      <c r="AG27" s="3">
        <f t="shared" ca="1" si="20"/>
        <v>52723</v>
      </c>
      <c r="AH27" s="34">
        <f>IF(AH26=0,0,IF((AH26=$AJ$4),0,IF($J27=$B$28+1,$AJ$4,AD27)))</f>
        <v>0</v>
      </c>
      <c r="AI27" s="35">
        <f t="shared" si="8"/>
        <v>2830.5498907867063</v>
      </c>
      <c r="AJ27" s="35">
        <f t="shared" si="21"/>
        <v>65102.64748809427</v>
      </c>
    </row>
    <row r="28" spans="1:36">
      <c r="A28" s="65" t="s">
        <v>43</v>
      </c>
      <c r="B28" s="66">
        <v>18</v>
      </c>
      <c r="D28" s="67" t="s">
        <v>44</v>
      </c>
      <c r="E28" s="68">
        <f>C33*B4</f>
        <v>1485.8177986465028</v>
      </c>
      <c r="F28" s="4" t="s">
        <v>45</v>
      </c>
      <c r="J28" s="26">
        <f t="shared" si="23"/>
        <v>24</v>
      </c>
      <c r="K28" s="27">
        <f t="shared" si="10"/>
        <v>0</v>
      </c>
      <c r="L28" s="28">
        <f t="shared" si="22"/>
        <v>3027.6465872474846</v>
      </c>
      <c r="M28" s="28">
        <f t="shared" si="0"/>
        <v>0</v>
      </c>
      <c r="N28" s="28">
        <f t="shared" si="3"/>
        <v>0</v>
      </c>
      <c r="O28" s="28">
        <f t="shared" si="11"/>
        <v>0</v>
      </c>
      <c r="P28" s="28">
        <f t="shared" si="12"/>
        <v>0</v>
      </c>
      <c r="Q28" s="28">
        <v>0</v>
      </c>
      <c r="R28" s="28">
        <f t="shared" si="13"/>
        <v>0</v>
      </c>
      <c r="S28" s="28">
        <f t="shared" si="14"/>
        <v>3027.6465872474846</v>
      </c>
      <c r="T28" s="28">
        <f t="shared" si="15"/>
        <v>0</v>
      </c>
      <c r="U28" s="28">
        <f t="shared" si="16"/>
        <v>0</v>
      </c>
      <c r="V28" s="28">
        <f t="shared" si="4"/>
        <v>0</v>
      </c>
      <c r="W28" s="28">
        <f t="shared" si="5"/>
        <v>0</v>
      </c>
      <c r="X28" s="28">
        <f t="shared" si="6"/>
        <v>3027.6465872474846</v>
      </c>
      <c r="Y28" s="28">
        <f t="shared" si="1"/>
        <v>1429.0491891808126</v>
      </c>
      <c r="Z28" s="29">
        <v>0</v>
      </c>
      <c r="AA28" s="27">
        <f t="shared" si="17"/>
        <v>1598.597398066672</v>
      </c>
      <c r="AB28" s="27">
        <f t="shared" si="7"/>
        <v>0</v>
      </c>
      <c r="AC28" s="30">
        <f t="shared" si="18"/>
        <v>3.9964934951666801E-2</v>
      </c>
      <c r="AD28" s="31">
        <f t="shared" si="2"/>
        <v>1598.597398066672</v>
      </c>
      <c r="AE28" s="32">
        <f t="shared" si="19"/>
        <v>133.21644983888933</v>
      </c>
      <c r="AF28" s="33">
        <f>AF27+AD28</f>
        <v>-23815.175805743038</v>
      </c>
      <c r="AG28" s="3">
        <f t="shared" ca="1" si="20"/>
        <v>52723</v>
      </c>
      <c r="AH28" s="34">
        <f>IF(AH27=0,0,IF((AH27=$AJ$4),0,IF($J28=$B$28+1,$AJ$4,AD28)))</f>
        <v>0</v>
      </c>
      <c r="AI28" s="35">
        <f t="shared" si="8"/>
        <v>2830.5498907867063</v>
      </c>
      <c r="AJ28" s="35">
        <f t="shared" si="21"/>
        <v>67933.19737888097</v>
      </c>
    </row>
    <row r="29" spans="1:36">
      <c r="A29" s="65" t="s">
        <v>46</v>
      </c>
      <c r="B29" s="69">
        <f>($B$4)*(1+B7)^B28</f>
        <v>57129.849903050912</v>
      </c>
      <c r="J29" s="26">
        <f t="shared" si="23"/>
        <v>25</v>
      </c>
      <c r="K29" s="27">
        <f t="shared" si="10"/>
        <v>0</v>
      </c>
      <c r="L29" s="28">
        <f t="shared" si="22"/>
        <v>3088.1995189924342</v>
      </c>
      <c r="M29" s="28">
        <f t="shared" si="0"/>
        <v>0</v>
      </c>
      <c r="N29" s="28">
        <f t="shared" si="3"/>
        <v>0</v>
      </c>
      <c r="O29" s="28">
        <f t="shared" si="11"/>
        <v>0</v>
      </c>
      <c r="P29" s="28">
        <f t="shared" si="12"/>
        <v>0</v>
      </c>
      <c r="Q29" s="28">
        <v>0</v>
      </c>
      <c r="R29" s="28">
        <f t="shared" si="13"/>
        <v>0</v>
      </c>
      <c r="S29" s="28">
        <f t="shared" si="14"/>
        <v>3088.1995189924342</v>
      </c>
      <c r="T29" s="28">
        <f t="shared" si="15"/>
        <v>0</v>
      </c>
      <c r="U29" s="28">
        <f t="shared" si="16"/>
        <v>0</v>
      </c>
      <c r="V29" s="28">
        <f t="shared" si="4"/>
        <v>0</v>
      </c>
      <c r="W29" s="28">
        <f t="shared" si="5"/>
        <v>0</v>
      </c>
      <c r="X29" s="28">
        <f t="shared" si="6"/>
        <v>3088.1995189924342</v>
      </c>
      <c r="Y29" s="28">
        <f t="shared" si="1"/>
        <v>1457.6301729644288</v>
      </c>
      <c r="Z29" s="29">
        <v>0</v>
      </c>
      <c r="AA29" s="27">
        <f t="shared" si="17"/>
        <v>1630.5693460280054</v>
      </c>
      <c r="AB29" s="27">
        <f t="shared" si="7"/>
        <v>0</v>
      </c>
      <c r="AC29" s="30">
        <f t="shared" si="18"/>
        <v>4.0764233650700137E-2</v>
      </c>
      <c r="AD29" s="31">
        <f t="shared" si="2"/>
        <v>1630.5693460280054</v>
      </c>
      <c r="AE29" s="32">
        <f t="shared" si="19"/>
        <v>135.88077883566712</v>
      </c>
      <c r="AF29" s="33">
        <f>AF28+AD29</f>
        <v>-22184.606459715033</v>
      </c>
      <c r="AG29" s="3">
        <f t="shared" ca="1" si="20"/>
        <v>52723</v>
      </c>
      <c r="AH29" s="34">
        <f>IF(AH28=0,0,IF((AH28=$AJ$4),0,IF($J29=$B$28+1,$AJ$4,AD29)))</f>
        <v>0</v>
      </c>
      <c r="AI29" s="35">
        <f t="shared" si="8"/>
        <v>2830.5498907867063</v>
      </c>
      <c r="AJ29" s="35">
        <f t="shared" si="21"/>
        <v>70763.74726966767</v>
      </c>
    </row>
    <row r="30" spans="1:36">
      <c r="A30" s="65" t="s">
        <v>47</v>
      </c>
      <c r="B30" s="69">
        <f>$B$4+CUMPRINC((1+B14)^(1/12)-1,B16*12,$B$4,1,12*B28,0)</f>
        <v>6179.9518688901953</v>
      </c>
      <c r="D30" s="70">
        <f>B28</f>
        <v>18</v>
      </c>
      <c r="E30" s="71">
        <f>D30*E28</f>
        <v>26744.720375637051</v>
      </c>
      <c r="F30" s="4" t="s">
        <v>45</v>
      </c>
      <c r="J30" s="26">
        <f t="shared" si="23"/>
        <v>26</v>
      </c>
      <c r="K30" s="27">
        <f t="shared" si="10"/>
        <v>0</v>
      </c>
      <c r="L30" s="28">
        <f t="shared" si="22"/>
        <v>3149.9635093722827</v>
      </c>
      <c r="M30" s="28">
        <f t="shared" si="0"/>
        <v>0</v>
      </c>
      <c r="N30" s="28">
        <f t="shared" si="3"/>
        <v>0</v>
      </c>
      <c r="O30" s="28">
        <f t="shared" si="11"/>
        <v>0</v>
      </c>
      <c r="P30" s="28">
        <f t="shared" si="12"/>
        <v>0</v>
      </c>
      <c r="Q30" s="28">
        <v>0</v>
      </c>
      <c r="R30" s="28">
        <f t="shared" si="13"/>
        <v>0</v>
      </c>
      <c r="S30" s="28">
        <f t="shared" si="14"/>
        <v>3149.9635093722827</v>
      </c>
      <c r="T30" s="28">
        <f t="shared" si="15"/>
        <v>0</v>
      </c>
      <c r="U30" s="28">
        <f t="shared" si="16"/>
        <v>0</v>
      </c>
      <c r="V30" s="28">
        <f t="shared" si="4"/>
        <v>0</v>
      </c>
      <c r="W30" s="28">
        <f t="shared" si="5"/>
        <v>0</v>
      </c>
      <c r="X30" s="28">
        <f t="shared" si="6"/>
        <v>3149.9635093722827</v>
      </c>
      <c r="Y30" s="28">
        <f t="shared" si="1"/>
        <v>1486.7827764237175</v>
      </c>
      <c r="Z30" s="29">
        <v>0</v>
      </c>
      <c r="AA30" s="27">
        <f t="shared" si="17"/>
        <v>1663.1807329485653</v>
      </c>
      <c r="AB30" s="27">
        <f t="shared" si="7"/>
        <v>0</v>
      </c>
      <c r="AC30" s="30">
        <f t="shared" si="18"/>
        <v>4.1579518323714135E-2</v>
      </c>
      <c r="AD30" s="31">
        <f t="shared" si="2"/>
        <v>1663.1807329485653</v>
      </c>
      <c r="AE30" s="32">
        <f t="shared" si="19"/>
        <v>138.59839441238043</v>
      </c>
      <c r="AF30" s="33">
        <f>AF29+AD30</f>
        <v>-20521.425726766469</v>
      </c>
      <c r="AG30" s="3">
        <f t="shared" ca="1" si="20"/>
        <v>52723</v>
      </c>
      <c r="AH30" s="34">
        <f>IF(AH29=0,0,IF((AH29=$AJ$4),0,IF($J30=$B$28+1,$AJ$4,AD30)))</f>
        <v>0</v>
      </c>
      <c r="AI30" s="35">
        <f t="shared" si="8"/>
        <v>2830.5498907867063</v>
      </c>
      <c r="AJ30" s="35">
        <f t="shared" si="21"/>
        <v>73594.297160454371</v>
      </c>
    </row>
    <row r="31" spans="1:36" ht="13">
      <c r="A31" s="72" t="s">
        <v>48</v>
      </c>
      <c r="B31" s="73">
        <f>B29-B30</f>
        <v>50949.898034160717</v>
      </c>
      <c r="D31" s="4" t="s">
        <v>49</v>
      </c>
      <c r="E31" s="74">
        <f>(($B$4)*(1+B7)^B28-B4)*(1-94%*(0.19+0.186))</f>
        <v>11075.475753316598</v>
      </c>
      <c r="F31" s="4" t="s">
        <v>45</v>
      </c>
      <c r="H31" s="39"/>
      <c r="J31" s="26">
        <f t="shared" si="23"/>
        <v>27</v>
      </c>
      <c r="K31" s="27">
        <f t="shared" si="10"/>
        <v>0</v>
      </c>
      <c r="L31" s="28">
        <f t="shared" si="22"/>
        <v>3212.9627795597285</v>
      </c>
      <c r="M31" s="28">
        <f t="shared" si="0"/>
        <v>0</v>
      </c>
      <c r="N31" s="28">
        <f t="shared" si="3"/>
        <v>0</v>
      </c>
      <c r="O31" s="28">
        <f t="shared" si="11"/>
        <v>0</v>
      </c>
      <c r="P31" s="28">
        <f t="shared" si="12"/>
        <v>0</v>
      </c>
      <c r="Q31" s="28">
        <v>0</v>
      </c>
      <c r="R31" s="28">
        <f t="shared" si="13"/>
        <v>0</v>
      </c>
      <c r="S31" s="28">
        <f t="shared" si="14"/>
        <v>3212.9627795597285</v>
      </c>
      <c r="T31" s="28">
        <f t="shared" si="15"/>
        <v>0</v>
      </c>
      <c r="U31" s="28">
        <f t="shared" si="16"/>
        <v>0</v>
      </c>
      <c r="V31" s="28">
        <f t="shared" si="4"/>
        <v>0</v>
      </c>
      <c r="W31" s="28">
        <f t="shared" si="5"/>
        <v>0</v>
      </c>
      <c r="X31" s="28">
        <f t="shared" si="6"/>
        <v>3212.9627795597285</v>
      </c>
      <c r="Y31" s="28">
        <f t="shared" si="1"/>
        <v>1516.5184319521918</v>
      </c>
      <c r="Z31" s="29">
        <v>0</v>
      </c>
      <c r="AA31" s="27">
        <f t="shared" si="17"/>
        <v>1696.4443476075367</v>
      </c>
      <c r="AB31" s="27">
        <f t="shared" si="7"/>
        <v>0</v>
      </c>
      <c r="AC31" s="30">
        <f t="shared" si="18"/>
        <v>4.2411108690188416E-2</v>
      </c>
      <c r="AD31" s="31">
        <f t="shared" si="2"/>
        <v>1696.4443476075367</v>
      </c>
      <c r="AE31" s="32">
        <f t="shared" si="19"/>
        <v>141.37036230062805</v>
      </c>
      <c r="AF31" s="33">
        <f>AF30+AD31</f>
        <v>-18824.981379158933</v>
      </c>
      <c r="AG31" s="3">
        <f t="shared" ca="1" si="20"/>
        <v>52723</v>
      </c>
      <c r="AH31" s="34">
        <f>IF(AH30=0,0,IF((AH30=$AJ$4),0,IF($J31=$B$28+1,$AJ$4,AD31)))</f>
        <v>0</v>
      </c>
      <c r="AI31" s="35">
        <f t="shared" si="8"/>
        <v>2830.5498907867063</v>
      </c>
      <c r="AJ31" s="35">
        <f t="shared" si="21"/>
        <v>76424.847051241071</v>
      </c>
    </row>
    <row r="32" spans="1:36" ht="15" thickBot="1">
      <c r="A32" s="75" t="s">
        <v>50</v>
      </c>
      <c r="B32" s="76">
        <f>-(VLOOKUP(B28,$J$5:$AF$50,23,FALSE))</f>
        <v>26425.87409990119</v>
      </c>
      <c r="C32" s="77"/>
      <c r="E32" s="78">
        <f>E30+E31</f>
        <v>37820.196128953648</v>
      </c>
      <c r="J32" s="26">
        <f t="shared" si="23"/>
        <v>28</v>
      </c>
      <c r="K32" s="27">
        <f t="shared" si="10"/>
        <v>0</v>
      </c>
      <c r="L32" s="28">
        <f t="shared" si="22"/>
        <v>3277.2220351509231</v>
      </c>
      <c r="M32" s="28">
        <f t="shared" si="0"/>
        <v>0</v>
      </c>
      <c r="N32" s="28">
        <f t="shared" si="3"/>
        <v>0</v>
      </c>
      <c r="O32" s="28">
        <f t="shared" si="11"/>
        <v>0</v>
      </c>
      <c r="P32" s="28">
        <f t="shared" si="12"/>
        <v>0</v>
      </c>
      <c r="Q32" s="28">
        <v>0</v>
      </c>
      <c r="R32" s="28">
        <f t="shared" si="13"/>
        <v>0</v>
      </c>
      <c r="S32" s="28">
        <f t="shared" si="14"/>
        <v>3277.2220351509231</v>
      </c>
      <c r="T32" s="28">
        <f t="shared" si="15"/>
        <v>0</v>
      </c>
      <c r="U32" s="28">
        <f t="shared" si="16"/>
        <v>0</v>
      </c>
      <c r="V32" s="28">
        <f t="shared" si="4"/>
        <v>0</v>
      </c>
      <c r="W32" s="28">
        <f t="shared" si="5"/>
        <v>0</v>
      </c>
      <c r="X32" s="28">
        <f t="shared" si="6"/>
        <v>3277.2220351509231</v>
      </c>
      <c r="Y32" s="28">
        <f t="shared" si="1"/>
        <v>1546.8488005912357</v>
      </c>
      <c r="Z32" s="29">
        <v>0</v>
      </c>
      <c r="AA32" s="27">
        <f t="shared" si="17"/>
        <v>1730.3732345596875</v>
      </c>
      <c r="AB32" s="27">
        <f t="shared" si="7"/>
        <v>0</v>
      </c>
      <c r="AC32" s="30">
        <f t="shared" si="18"/>
        <v>4.3259330863992189E-2</v>
      </c>
      <c r="AD32" s="31">
        <f t="shared" si="2"/>
        <v>1730.3732345596875</v>
      </c>
      <c r="AE32" s="32">
        <f t="shared" si="19"/>
        <v>144.19776954664061</v>
      </c>
      <c r="AF32" s="33">
        <f>AF31+AD32</f>
        <v>-17094.608144599246</v>
      </c>
      <c r="AG32" s="3">
        <f t="shared" ca="1" si="20"/>
        <v>52723</v>
      </c>
      <c r="AH32" s="34">
        <f>IF(AH31=0,0,IF((AH31=$AJ$4),0,IF($J32=$B$28+1,$AJ$4,AD32)))</f>
        <v>0</v>
      </c>
      <c r="AI32" s="35">
        <f t="shared" si="8"/>
        <v>2830.5498907867063</v>
      </c>
      <c r="AJ32" s="35">
        <f t="shared" si="21"/>
        <v>79255.396942027772</v>
      </c>
    </row>
    <row r="33" spans="1:36" ht="15" thickTop="1">
      <c r="A33" s="79" t="s">
        <v>51</v>
      </c>
      <c r="B33" s="80">
        <f>B31-B32</f>
        <v>24524.023934259527</v>
      </c>
      <c r="C33" s="81">
        <f>(B31/B32)^(1/B28)-1</f>
        <v>3.7145444966162566E-2</v>
      </c>
      <c r="D33" s="82" t="s">
        <v>52</v>
      </c>
      <c r="E33" s="35">
        <f>B30</f>
        <v>6179.9518688901953</v>
      </c>
      <c r="F33" s="77"/>
      <c r="G33" s="77"/>
      <c r="H33" s="39"/>
      <c r="J33" s="26">
        <f t="shared" si="23"/>
        <v>29</v>
      </c>
      <c r="K33" s="27">
        <f t="shared" si="10"/>
        <v>0</v>
      </c>
      <c r="L33" s="28">
        <f t="shared" si="22"/>
        <v>3342.7664758539418</v>
      </c>
      <c r="M33" s="28">
        <f t="shared" si="0"/>
        <v>0</v>
      </c>
      <c r="N33" s="28">
        <f t="shared" si="3"/>
        <v>0</v>
      </c>
      <c r="O33" s="28">
        <f t="shared" si="11"/>
        <v>0</v>
      </c>
      <c r="P33" s="28">
        <f t="shared" si="12"/>
        <v>0</v>
      </c>
      <c r="Q33" s="28">
        <v>0</v>
      </c>
      <c r="R33" s="28">
        <f t="shared" si="13"/>
        <v>0</v>
      </c>
      <c r="S33" s="28">
        <f t="shared" si="14"/>
        <v>3342.7664758539418</v>
      </c>
      <c r="T33" s="28">
        <f t="shared" si="15"/>
        <v>0</v>
      </c>
      <c r="U33" s="28">
        <f t="shared" si="16"/>
        <v>0</v>
      </c>
      <c r="V33" s="28">
        <f t="shared" si="4"/>
        <v>0</v>
      </c>
      <c r="W33" s="28">
        <f t="shared" si="5"/>
        <v>0</v>
      </c>
      <c r="X33" s="28">
        <f t="shared" si="6"/>
        <v>3342.7664758539418</v>
      </c>
      <c r="Y33" s="28">
        <f t="shared" si="1"/>
        <v>1577.7857766030604</v>
      </c>
      <c r="Z33" s="29">
        <v>0</v>
      </c>
      <c r="AA33" s="27">
        <f t="shared" si="17"/>
        <v>1764.9806992508813</v>
      </c>
      <c r="AB33" s="27">
        <f t="shared" si="7"/>
        <v>0</v>
      </c>
      <c r="AC33" s="30">
        <f t="shared" si="18"/>
        <v>4.4124517481272031E-2</v>
      </c>
      <c r="AD33" s="31">
        <f t="shared" si="2"/>
        <v>1764.9806992508813</v>
      </c>
      <c r="AE33" s="32">
        <f t="shared" si="19"/>
        <v>147.08172493757345</v>
      </c>
      <c r="AF33" s="33">
        <f>AF32+AD33</f>
        <v>-15329.627445348364</v>
      </c>
      <c r="AG33" s="3">
        <f t="shared" ca="1" si="20"/>
        <v>52723</v>
      </c>
      <c r="AH33" s="34">
        <f>IF(AH32=0,0,IF((AH32=$AJ$4),0,IF($J33=$B$28+1,$AJ$4,AD33)))</f>
        <v>0</v>
      </c>
      <c r="AI33" s="35">
        <f t="shared" si="8"/>
        <v>2830.5498907867063</v>
      </c>
      <c r="AJ33" s="35">
        <f t="shared" si="21"/>
        <v>82085.946832814472</v>
      </c>
    </row>
    <row r="34" spans="1:36" ht="23.5" thickBot="1">
      <c r="A34" s="83" t="s">
        <v>53</v>
      </c>
      <c r="B34" s="84">
        <f ca="1">XIRR($AH$5:$AH$50,$AG$5:$AG$50)</f>
        <v>6.8113407492637668E-2</v>
      </c>
      <c r="C34" s="35"/>
      <c r="D34" s="35"/>
      <c r="E34" s="85">
        <f>E30+E31-E33</f>
        <v>31640.244260063453</v>
      </c>
      <c r="F34" s="86">
        <f>(B4/E34)^(1/B28)-1</f>
        <v>1.3110171793029535E-2</v>
      </c>
      <c r="G34" s="86"/>
      <c r="J34" s="26">
        <f t="shared" si="23"/>
        <v>30</v>
      </c>
      <c r="K34" s="27">
        <f t="shared" si="10"/>
        <v>0</v>
      </c>
      <c r="L34" s="28">
        <f t="shared" si="22"/>
        <v>3409.6218053710209</v>
      </c>
      <c r="M34" s="28">
        <f t="shared" si="0"/>
        <v>0</v>
      </c>
      <c r="N34" s="28">
        <f t="shared" si="3"/>
        <v>0</v>
      </c>
      <c r="O34" s="28">
        <f t="shared" si="11"/>
        <v>0</v>
      </c>
      <c r="P34" s="28">
        <f t="shared" si="12"/>
        <v>0</v>
      </c>
      <c r="Q34" s="28">
        <v>0</v>
      </c>
      <c r="R34" s="28">
        <f t="shared" si="13"/>
        <v>0</v>
      </c>
      <c r="S34" s="28">
        <f t="shared" si="14"/>
        <v>3409.6218053710209</v>
      </c>
      <c r="T34" s="28">
        <f t="shared" si="15"/>
        <v>0</v>
      </c>
      <c r="U34" s="28">
        <f t="shared" si="16"/>
        <v>0</v>
      </c>
      <c r="V34" s="28">
        <f t="shared" si="4"/>
        <v>0</v>
      </c>
      <c r="W34" s="28">
        <f t="shared" si="5"/>
        <v>0</v>
      </c>
      <c r="X34" s="28">
        <f t="shared" si="6"/>
        <v>3409.6218053710209</v>
      </c>
      <c r="Y34" s="28">
        <f t="shared" si="1"/>
        <v>1609.3414921351218</v>
      </c>
      <c r="Z34" s="29">
        <v>0</v>
      </c>
      <c r="AA34" s="27">
        <f t="shared" si="17"/>
        <v>1800.280313235899</v>
      </c>
      <c r="AB34" s="27">
        <f t="shared" si="7"/>
        <v>0</v>
      </c>
      <c r="AC34" s="30">
        <f t="shared" si="18"/>
        <v>4.5007007830897477E-2</v>
      </c>
      <c r="AD34" s="31">
        <f t="shared" si="2"/>
        <v>1800.280313235899</v>
      </c>
      <c r="AE34" s="32">
        <f t="shared" si="19"/>
        <v>150.02335943632491</v>
      </c>
      <c r="AF34" s="33">
        <f>AF33+AD34</f>
        <v>-13529.347132112465</v>
      </c>
      <c r="AG34" s="3">
        <f t="shared" ca="1" si="20"/>
        <v>52723</v>
      </c>
      <c r="AH34" s="34">
        <f>IF(AH33=0,0,IF((AH33=$AJ$4),0,IF($J34=$B$28+1,$AJ$4,AD34)))</f>
        <v>0</v>
      </c>
      <c r="AI34" s="35">
        <f t="shared" si="8"/>
        <v>2830.5498907867063</v>
      </c>
      <c r="AJ34" s="35">
        <f t="shared" si="21"/>
        <v>84916.496723601173</v>
      </c>
    </row>
    <row r="35" spans="1:36" ht="13.5" thickTop="1">
      <c r="A35" s="87" t="s">
        <v>54</v>
      </c>
      <c r="B35" s="88">
        <f ca="1">B34</f>
        <v>6.8113407492637668E-2</v>
      </c>
      <c r="F35" s="35"/>
      <c r="G35" s="35"/>
      <c r="J35" s="26">
        <f t="shared" si="23"/>
        <v>31</v>
      </c>
      <c r="K35" s="27">
        <f t="shared" si="10"/>
        <v>0</v>
      </c>
      <c r="L35" s="28">
        <f t="shared" si="22"/>
        <v>3477.8142414784415</v>
      </c>
      <c r="M35" s="28">
        <f t="shared" si="0"/>
        <v>0</v>
      </c>
      <c r="N35" s="28">
        <f t="shared" si="3"/>
        <v>0</v>
      </c>
      <c r="O35" s="28">
        <f t="shared" si="11"/>
        <v>0</v>
      </c>
      <c r="P35" s="28">
        <f t="shared" si="12"/>
        <v>0</v>
      </c>
      <c r="Q35" s="28">
        <v>0</v>
      </c>
      <c r="R35" s="28">
        <f t="shared" si="13"/>
        <v>0</v>
      </c>
      <c r="S35" s="28">
        <f t="shared" si="14"/>
        <v>3477.8142414784415</v>
      </c>
      <c r="T35" s="28">
        <f t="shared" si="15"/>
        <v>0</v>
      </c>
      <c r="U35" s="28">
        <f t="shared" si="16"/>
        <v>0</v>
      </c>
      <c r="V35" s="28">
        <f t="shared" si="4"/>
        <v>0</v>
      </c>
      <c r="W35" s="28">
        <f t="shared" si="5"/>
        <v>0</v>
      </c>
      <c r="X35" s="28">
        <f t="shared" si="6"/>
        <v>3477.8142414784415</v>
      </c>
      <c r="Y35" s="28">
        <f t="shared" si="1"/>
        <v>1641.5283219778244</v>
      </c>
      <c r="Z35" s="29">
        <v>0</v>
      </c>
      <c r="AA35" s="27">
        <f t="shared" si="17"/>
        <v>1836.2859195006172</v>
      </c>
      <c r="AB35" s="27">
        <f t="shared" si="7"/>
        <v>0</v>
      </c>
      <c r="AC35" s="30">
        <f t="shared" si="18"/>
        <v>4.5907147987515433E-2</v>
      </c>
      <c r="AD35" s="31">
        <f t="shared" si="2"/>
        <v>1836.2859195006172</v>
      </c>
      <c r="AE35" s="32">
        <f t="shared" si="19"/>
        <v>153.02382662505144</v>
      </c>
      <c r="AF35" s="33">
        <f>AF34+AD35</f>
        <v>-11693.061212611849</v>
      </c>
      <c r="AG35" s="3">
        <f t="shared" ca="1" si="20"/>
        <v>52723</v>
      </c>
      <c r="AH35" s="34">
        <f>IF(AH34=0,0,IF((AH34=$AJ$4),0,IF($J35=$B$28+1,$AJ$4,AD35)))</f>
        <v>0</v>
      </c>
      <c r="AI35" s="35">
        <f t="shared" si="8"/>
        <v>2830.5498907867063</v>
      </c>
      <c r="AJ35" s="35">
        <f t="shared" si="21"/>
        <v>87747.046614387873</v>
      </c>
    </row>
    <row r="36" spans="1:36" ht="13">
      <c r="A36" s="87" t="s">
        <v>55</v>
      </c>
      <c r="B36" s="89">
        <f>B31</f>
        <v>50949.898034160717</v>
      </c>
      <c r="E36" s="35"/>
      <c r="J36" s="26">
        <f t="shared" si="23"/>
        <v>32</v>
      </c>
      <c r="K36" s="27">
        <f t="shared" si="10"/>
        <v>0</v>
      </c>
      <c r="L36" s="28">
        <f t="shared" si="22"/>
        <v>3547.3705263080105</v>
      </c>
      <c r="M36" s="28">
        <f t="shared" si="0"/>
        <v>0</v>
      </c>
      <c r="N36" s="28">
        <f t="shared" si="3"/>
        <v>0</v>
      </c>
      <c r="O36" s="28">
        <f t="shared" si="11"/>
        <v>0</v>
      </c>
      <c r="P36" s="28">
        <f t="shared" si="12"/>
        <v>0</v>
      </c>
      <c r="Q36" s="28">
        <v>0</v>
      </c>
      <c r="R36" s="28">
        <f t="shared" si="13"/>
        <v>0</v>
      </c>
      <c r="S36" s="28">
        <f t="shared" si="14"/>
        <v>3547.3705263080105</v>
      </c>
      <c r="T36" s="28">
        <f t="shared" si="15"/>
        <v>0</v>
      </c>
      <c r="U36" s="28">
        <f t="shared" si="16"/>
        <v>0</v>
      </c>
      <c r="V36" s="28">
        <f t="shared" si="4"/>
        <v>0</v>
      </c>
      <c r="W36" s="28">
        <f t="shared" si="5"/>
        <v>0</v>
      </c>
      <c r="X36" s="28">
        <f t="shared" si="6"/>
        <v>3547.3705263080105</v>
      </c>
      <c r="Y36" s="28">
        <f t="shared" si="1"/>
        <v>1674.358888417381</v>
      </c>
      <c r="Z36" s="29">
        <v>0</v>
      </c>
      <c r="AA36" s="27">
        <f t="shared" si="17"/>
        <v>1873.0116378906296</v>
      </c>
      <c r="AB36" s="27">
        <f t="shared" si="7"/>
        <v>0</v>
      </c>
      <c r="AC36" s="30">
        <f t="shared" si="18"/>
        <v>4.6825290947265737E-2</v>
      </c>
      <c r="AD36" s="31">
        <f t="shared" si="2"/>
        <v>1873.0116378906296</v>
      </c>
      <c r="AE36" s="32">
        <f t="shared" si="19"/>
        <v>156.08430315755245</v>
      </c>
      <c r="AF36" s="33">
        <f>AF35+AD36</f>
        <v>-9820.049574721219</v>
      </c>
      <c r="AG36" s="3">
        <f t="shared" ca="1" si="20"/>
        <v>52723</v>
      </c>
      <c r="AH36" s="34">
        <f>IF(AH35=0,0,IF((AH35=$AJ$4),0,IF($J36=$B$28+1,$AJ$4,AD36)))</f>
        <v>0</v>
      </c>
      <c r="AI36" s="35">
        <f t="shared" si="8"/>
        <v>2830.5498907867063</v>
      </c>
      <c r="AJ36" s="35">
        <f t="shared" si="21"/>
        <v>90577.596505174573</v>
      </c>
    </row>
    <row r="37" spans="1:36" ht="13.5" thickBot="1">
      <c r="A37" s="87" t="s">
        <v>56</v>
      </c>
      <c r="B37" s="90">
        <f>B28</f>
        <v>18</v>
      </c>
      <c r="J37" s="91">
        <f t="shared" si="23"/>
        <v>33</v>
      </c>
      <c r="K37" s="92">
        <f t="shared" si="10"/>
        <v>0</v>
      </c>
      <c r="L37" s="93">
        <f t="shared" si="22"/>
        <v>3618.3179368341707</v>
      </c>
      <c r="M37" s="93">
        <f t="shared" si="0"/>
        <v>0</v>
      </c>
      <c r="N37" s="93">
        <f t="shared" si="3"/>
        <v>0</v>
      </c>
      <c r="O37" s="93">
        <f t="shared" si="11"/>
        <v>0</v>
      </c>
      <c r="P37" s="93">
        <f t="shared" si="12"/>
        <v>0</v>
      </c>
      <c r="Q37" s="93">
        <v>0</v>
      </c>
      <c r="R37" s="93">
        <f t="shared" si="13"/>
        <v>0</v>
      </c>
      <c r="S37" s="93">
        <f t="shared" si="14"/>
        <v>3618.3179368341707</v>
      </c>
      <c r="T37" s="93">
        <f t="shared" si="15"/>
        <v>0</v>
      </c>
      <c r="U37" s="93">
        <f t="shared" si="16"/>
        <v>0</v>
      </c>
      <c r="V37" s="93">
        <f t="shared" si="4"/>
        <v>0</v>
      </c>
      <c r="W37" s="93">
        <f t="shared" si="5"/>
        <v>0</v>
      </c>
      <c r="X37" s="93">
        <f t="shared" si="6"/>
        <v>3618.3179368341707</v>
      </c>
      <c r="Y37" s="28">
        <f t="shared" si="1"/>
        <v>1707.8460661857284</v>
      </c>
      <c r="Z37" s="94">
        <v>0</v>
      </c>
      <c r="AA37" s="92">
        <f t="shared" si="17"/>
        <v>1910.4718706484423</v>
      </c>
      <c r="AB37" s="92">
        <f t="shared" si="7"/>
        <v>0</v>
      </c>
      <c r="AC37" s="95">
        <f t="shared" si="18"/>
        <v>4.7761796766211055E-2</v>
      </c>
      <c r="AD37" s="96">
        <f t="shared" si="2"/>
        <v>1910.4718706484423</v>
      </c>
      <c r="AE37" s="97">
        <f t="shared" si="19"/>
        <v>159.20598922070351</v>
      </c>
      <c r="AF37" s="33">
        <f>AF36+AD37</f>
        <v>-7909.5777040727771</v>
      </c>
      <c r="AG37" s="3">
        <f t="shared" ca="1" si="20"/>
        <v>52723</v>
      </c>
      <c r="AH37" s="34">
        <f>IF(AH36=0,0,IF((AH36=$AJ$4),0,IF($J37=$B$28+1,$AJ$4,AD37)))</f>
        <v>0</v>
      </c>
      <c r="AI37" s="35">
        <f t="shared" si="8"/>
        <v>2830.5498907867063</v>
      </c>
      <c r="AJ37" s="35">
        <f t="shared" si="21"/>
        <v>93408.146395961274</v>
      </c>
    </row>
    <row r="38" spans="1:36">
      <c r="A38" s="39"/>
      <c r="B38" s="4">
        <v>15</v>
      </c>
      <c r="H38" s="35"/>
      <c r="J38" s="26">
        <f t="shared" si="23"/>
        <v>34</v>
      </c>
      <c r="K38" s="27">
        <f t="shared" si="10"/>
        <v>0</v>
      </c>
      <c r="L38" s="28">
        <f t="shared" si="22"/>
        <v>3690.6842955708544</v>
      </c>
      <c r="M38" s="28">
        <f t="shared" si="0"/>
        <v>0</v>
      </c>
      <c r="N38" s="28">
        <f t="shared" si="3"/>
        <v>0</v>
      </c>
      <c r="O38" s="28">
        <f t="shared" si="11"/>
        <v>0</v>
      </c>
      <c r="P38" s="28">
        <f t="shared" si="12"/>
        <v>0</v>
      </c>
      <c r="Q38" s="28">
        <v>0</v>
      </c>
      <c r="R38" s="28">
        <f t="shared" si="13"/>
        <v>0</v>
      </c>
      <c r="S38" s="28">
        <f t="shared" si="14"/>
        <v>3690.6842955708544</v>
      </c>
      <c r="T38" s="28">
        <f t="shared" si="15"/>
        <v>0</v>
      </c>
      <c r="U38" s="28">
        <f t="shared" si="16"/>
        <v>0</v>
      </c>
      <c r="V38" s="28">
        <f t="shared" si="4"/>
        <v>0</v>
      </c>
      <c r="W38" s="28">
        <f t="shared" si="5"/>
        <v>0</v>
      </c>
      <c r="X38" s="28">
        <f t="shared" si="6"/>
        <v>3690.6842955708544</v>
      </c>
      <c r="Y38" s="28">
        <f t="shared" si="1"/>
        <v>1742.0029875094431</v>
      </c>
      <c r="Z38" s="29">
        <v>0</v>
      </c>
      <c r="AA38" s="27">
        <f t="shared" si="17"/>
        <v>1948.6813080614113</v>
      </c>
      <c r="AB38" s="27">
        <f t="shared" si="7"/>
        <v>0</v>
      </c>
      <c r="AC38" s="30">
        <f t="shared" si="18"/>
        <v>4.8717032701535282E-2</v>
      </c>
      <c r="AD38" s="31">
        <f t="shared" si="2"/>
        <v>1948.6813080614113</v>
      </c>
      <c r="AE38" s="32">
        <f t="shared" si="19"/>
        <v>162.39010900511761</v>
      </c>
      <c r="AF38" s="33">
        <f>AF37+AD38</f>
        <v>-5960.8963960113661</v>
      </c>
      <c r="AG38" s="3">
        <f t="shared" ca="1" si="20"/>
        <v>52723</v>
      </c>
      <c r="AH38" s="34">
        <f>IF(AH37=0,0,IF((AH37=$AJ$4),0,IF($J38=$B$28+1,$AJ$4,AD38)))</f>
        <v>0</v>
      </c>
      <c r="AI38" s="35">
        <f t="shared" si="8"/>
        <v>2830.5498907867063</v>
      </c>
      <c r="AJ38" s="35">
        <f t="shared" si="21"/>
        <v>96238.696286747974</v>
      </c>
    </row>
    <row r="39" spans="1:36">
      <c r="J39" s="26">
        <f t="shared" si="23"/>
        <v>35</v>
      </c>
      <c r="K39" s="27">
        <f t="shared" si="10"/>
        <v>0</v>
      </c>
      <c r="L39" s="28">
        <f t="shared" si="22"/>
        <v>3764.4979814822714</v>
      </c>
      <c r="M39" s="28">
        <f t="shared" si="0"/>
        <v>0</v>
      </c>
      <c r="N39" s="28">
        <f t="shared" si="3"/>
        <v>0</v>
      </c>
      <c r="O39" s="28">
        <f t="shared" si="11"/>
        <v>0</v>
      </c>
      <c r="P39" s="28">
        <f t="shared" si="12"/>
        <v>0</v>
      </c>
      <c r="Q39" s="28">
        <v>0</v>
      </c>
      <c r="R39" s="28">
        <f t="shared" si="13"/>
        <v>0</v>
      </c>
      <c r="S39" s="28">
        <f t="shared" si="14"/>
        <v>3764.4979814822714</v>
      </c>
      <c r="T39" s="28">
        <f t="shared" si="15"/>
        <v>0</v>
      </c>
      <c r="U39" s="28">
        <f t="shared" si="16"/>
        <v>0</v>
      </c>
      <c r="V39" s="28">
        <f t="shared" si="4"/>
        <v>0</v>
      </c>
      <c r="W39" s="28">
        <f t="shared" si="5"/>
        <v>0</v>
      </c>
      <c r="X39" s="28">
        <f t="shared" si="6"/>
        <v>3764.4979814822714</v>
      </c>
      <c r="Y39" s="28">
        <f t="shared" si="1"/>
        <v>1776.8430472596319</v>
      </c>
      <c r="Z39" s="29">
        <v>0</v>
      </c>
      <c r="AA39" s="27">
        <f t="shared" si="17"/>
        <v>1987.6549342226394</v>
      </c>
      <c r="AB39" s="27">
        <f t="shared" si="7"/>
        <v>0</v>
      </c>
      <c r="AC39" s="30">
        <f t="shared" si="18"/>
        <v>4.9691373355565983E-2</v>
      </c>
      <c r="AD39" s="31">
        <f t="shared" si="2"/>
        <v>1987.6549342226394</v>
      </c>
      <c r="AE39" s="32">
        <f t="shared" si="19"/>
        <v>165.63791118521996</v>
      </c>
      <c r="AF39" s="33">
        <f>AF38+AD39</f>
        <v>-3973.2414617887266</v>
      </c>
      <c r="AG39" s="3">
        <f t="shared" ca="1" si="20"/>
        <v>52723</v>
      </c>
      <c r="AH39" s="34">
        <f>IF(AH38=0,0,IF((AH38=$AJ$4),0,IF($J39=$B$28+1,$AJ$4,AD39)))</f>
        <v>0</v>
      </c>
      <c r="AI39" s="35">
        <f t="shared" si="8"/>
        <v>2830.5498907867063</v>
      </c>
      <c r="AJ39" s="35">
        <f t="shared" si="21"/>
        <v>99069.246177534675</v>
      </c>
    </row>
    <row r="40" spans="1:36">
      <c r="A40" s="39"/>
      <c r="J40" s="26">
        <f t="shared" si="23"/>
        <v>36</v>
      </c>
      <c r="K40" s="27">
        <f t="shared" si="10"/>
        <v>0</v>
      </c>
      <c r="L40" s="28">
        <f t="shared" si="22"/>
        <v>3839.787941111917</v>
      </c>
      <c r="M40" s="28">
        <f t="shared" si="0"/>
        <v>0</v>
      </c>
      <c r="N40" s="28">
        <f t="shared" si="3"/>
        <v>0</v>
      </c>
      <c r="O40" s="28">
        <f t="shared" si="11"/>
        <v>0</v>
      </c>
      <c r="P40" s="28">
        <f t="shared" si="12"/>
        <v>0</v>
      </c>
      <c r="Q40" s="28">
        <v>0</v>
      </c>
      <c r="R40" s="28">
        <f t="shared" si="13"/>
        <v>0</v>
      </c>
      <c r="S40" s="28">
        <f t="shared" si="14"/>
        <v>3839.787941111917</v>
      </c>
      <c r="T40" s="28">
        <f t="shared" si="15"/>
        <v>0</v>
      </c>
      <c r="U40" s="28">
        <f t="shared" si="16"/>
        <v>0</v>
      </c>
      <c r="V40" s="28">
        <f t="shared" si="4"/>
        <v>0</v>
      </c>
      <c r="W40" s="28">
        <f t="shared" si="5"/>
        <v>0</v>
      </c>
      <c r="X40" s="28">
        <f t="shared" si="6"/>
        <v>3839.787941111917</v>
      </c>
      <c r="Y40" s="28">
        <f t="shared" si="1"/>
        <v>1812.3799082048247</v>
      </c>
      <c r="Z40" s="29">
        <v>0</v>
      </c>
      <c r="AA40" s="27">
        <f t="shared" si="17"/>
        <v>2027.4080329070923</v>
      </c>
      <c r="AB40" s="27">
        <f t="shared" si="7"/>
        <v>0</v>
      </c>
      <c r="AC40" s="30">
        <f t="shared" si="18"/>
        <v>5.0685200822677308E-2</v>
      </c>
      <c r="AD40" s="31">
        <f t="shared" si="2"/>
        <v>2027.4080329070923</v>
      </c>
      <c r="AE40" s="32">
        <f t="shared" si="19"/>
        <v>168.95066940892437</v>
      </c>
      <c r="AF40" s="33">
        <f>AF39+AD40</f>
        <v>-1945.8334288816343</v>
      </c>
      <c r="AG40" s="3">
        <f t="shared" ca="1" si="20"/>
        <v>52723</v>
      </c>
      <c r="AH40" s="34">
        <f>IF(AH39=0,0,IF((AH39=$AJ$4),0,IF($J40=$B$28+1,$AJ$4,AD40)))</f>
        <v>0</v>
      </c>
      <c r="AI40" s="35">
        <f t="shared" si="8"/>
        <v>2830.5498907867063</v>
      </c>
      <c r="AJ40" s="35">
        <f t="shared" si="21"/>
        <v>101899.79606832138</v>
      </c>
    </row>
    <row r="41" spans="1:36">
      <c r="A41" s="39"/>
      <c r="H41" s="39"/>
      <c r="J41" s="26">
        <f t="shared" si="23"/>
        <v>37</v>
      </c>
      <c r="K41" s="27">
        <f t="shared" si="10"/>
        <v>0</v>
      </c>
      <c r="L41" s="28">
        <f t="shared" si="22"/>
        <v>3916.5836999341554</v>
      </c>
      <c r="M41" s="28">
        <f t="shared" si="0"/>
        <v>0</v>
      </c>
      <c r="N41" s="28">
        <f t="shared" si="3"/>
        <v>0</v>
      </c>
      <c r="O41" s="28">
        <f t="shared" si="11"/>
        <v>0</v>
      </c>
      <c r="P41" s="28">
        <f t="shared" si="12"/>
        <v>0</v>
      </c>
      <c r="Q41" s="28">
        <v>0</v>
      </c>
      <c r="R41" s="28">
        <f t="shared" si="13"/>
        <v>0</v>
      </c>
      <c r="S41" s="28">
        <f t="shared" si="14"/>
        <v>3916.5836999341554</v>
      </c>
      <c r="T41" s="28">
        <f t="shared" si="15"/>
        <v>0</v>
      </c>
      <c r="U41" s="28">
        <f t="shared" si="16"/>
        <v>0</v>
      </c>
      <c r="V41" s="28">
        <f t="shared" si="4"/>
        <v>0</v>
      </c>
      <c r="W41" s="28">
        <f t="shared" si="5"/>
        <v>0</v>
      </c>
      <c r="X41" s="28">
        <f t="shared" si="6"/>
        <v>3916.5836999341554</v>
      </c>
      <c r="Y41" s="28">
        <f t="shared" si="1"/>
        <v>1848.6275063689213</v>
      </c>
      <c r="Z41" s="29">
        <v>0</v>
      </c>
      <c r="AA41" s="27">
        <f t="shared" si="17"/>
        <v>2067.9561935652341</v>
      </c>
      <c r="AB41" s="27">
        <f t="shared" si="7"/>
        <v>0</v>
      </c>
      <c r="AC41" s="30">
        <f t="shared" si="18"/>
        <v>5.1698904839130852E-2</v>
      </c>
      <c r="AD41" s="31">
        <f t="shared" si="2"/>
        <v>2067.9561935652341</v>
      </c>
      <c r="AE41" s="32">
        <f t="shared" si="19"/>
        <v>172.32968279710283</v>
      </c>
      <c r="AF41" s="33">
        <f>AF40+AD41</f>
        <v>122.12276468359983</v>
      </c>
      <c r="AG41" s="3">
        <f t="shared" ca="1" si="20"/>
        <v>52723</v>
      </c>
      <c r="AH41" s="34">
        <f>IF(AH40=0,0,IF((AH40=$AJ$4),0,IF($J41=$B$28+1,$AJ$4,AD41)))</f>
        <v>0</v>
      </c>
      <c r="AI41" s="35">
        <f t="shared" si="8"/>
        <v>2830.5498907867063</v>
      </c>
      <c r="AJ41" s="35">
        <f t="shared" si="21"/>
        <v>104730.34595910808</v>
      </c>
    </row>
    <row r="42" spans="1:36">
      <c r="A42" s="39"/>
      <c r="I42" s="35"/>
      <c r="J42" s="26">
        <f t="shared" si="23"/>
        <v>38</v>
      </c>
      <c r="K42" s="27">
        <f t="shared" si="10"/>
        <v>0</v>
      </c>
      <c r="L42" s="28">
        <f t="shared" si="22"/>
        <v>3994.9153739328385</v>
      </c>
      <c r="M42" s="28">
        <f t="shared" si="0"/>
        <v>0</v>
      </c>
      <c r="N42" s="28">
        <f t="shared" si="3"/>
        <v>0</v>
      </c>
      <c r="O42" s="28">
        <f t="shared" si="11"/>
        <v>0</v>
      </c>
      <c r="P42" s="28">
        <f t="shared" si="12"/>
        <v>0</v>
      </c>
      <c r="Q42" s="28">
        <v>0</v>
      </c>
      <c r="R42" s="28">
        <f t="shared" si="13"/>
        <v>0</v>
      </c>
      <c r="S42" s="28">
        <f t="shared" si="14"/>
        <v>3994.9153739328385</v>
      </c>
      <c r="T42" s="28">
        <f t="shared" si="15"/>
        <v>0</v>
      </c>
      <c r="U42" s="28">
        <f t="shared" si="16"/>
        <v>0</v>
      </c>
      <c r="V42" s="28">
        <f t="shared" si="4"/>
        <v>0</v>
      </c>
      <c r="W42" s="28">
        <f t="shared" si="5"/>
        <v>0</v>
      </c>
      <c r="X42" s="28">
        <f t="shared" si="6"/>
        <v>3994.9153739328385</v>
      </c>
      <c r="Y42" s="28">
        <f t="shared" si="1"/>
        <v>1885.6000564962997</v>
      </c>
      <c r="Z42" s="29">
        <v>0</v>
      </c>
      <c r="AA42" s="27">
        <f t="shared" si="17"/>
        <v>2109.3153174365389</v>
      </c>
      <c r="AB42" s="27">
        <f t="shared" si="7"/>
        <v>0</v>
      </c>
      <c r="AC42" s="30">
        <f t="shared" si="18"/>
        <v>5.2732882935913473E-2</v>
      </c>
      <c r="AD42" s="31">
        <f t="shared" si="2"/>
        <v>2109.3153174365389</v>
      </c>
      <c r="AE42" s="32">
        <f t="shared" si="19"/>
        <v>175.77627645304491</v>
      </c>
      <c r="AF42" s="33">
        <f>AF41+AD42</f>
        <v>2231.4380821201385</v>
      </c>
      <c r="AG42" s="3">
        <f t="shared" ca="1" si="20"/>
        <v>52723</v>
      </c>
      <c r="AH42" s="34">
        <f>IF(AH41=0,0,IF((AH41=$AJ$4),0,IF($J42=$B$28+1,$AJ$4,AD42)))</f>
        <v>0</v>
      </c>
      <c r="AI42" s="35">
        <f t="shared" si="8"/>
        <v>2830.5498907867063</v>
      </c>
      <c r="AJ42" s="35">
        <f t="shared" si="21"/>
        <v>107560.89584989478</v>
      </c>
    </row>
    <row r="43" spans="1:36">
      <c r="J43" s="26">
        <f t="shared" si="23"/>
        <v>39</v>
      </c>
      <c r="K43" s="27">
        <f t="shared" si="10"/>
        <v>0</v>
      </c>
      <c r="L43" s="28">
        <f t="shared" si="22"/>
        <v>4074.8136814114955</v>
      </c>
      <c r="M43" s="28">
        <f t="shared" si="0"/>
        <v>0</v>
      </c>
      <c r="N43" s="28">
        <f t="shared" si="3"/>
        <v>0</v>
      </c>
      <c r="O43" s="28">
        <f t="shared" si="11"/>
        <v>0</v>
      </c>
      <c r="P43" s="28">
        <f t="shared" si="12"/>
        <v>0</v>
      </c>
      <c r="Q43" s="28">
        <v>0</v>
      </c>
      <c r="R43" s="28">
        <f t="shared" si="13"/>
        <v>0</v>
      </c>
      <c r="S43" s="28">
        <f t="shared" si="14"/>
        <v>4074.8136814114955</v>
      </c>
      <c r="T43" s="28">
        <f t="shared" si="15"/>
        <v>0</v>
      </c>
      <c r="U43" s="28">
        <f t="shared" si="16"/>
        <v>0</v>
      </c>
      <c r="V43" s="28">
        <f t="shared" si="4"/>
        <v>0</v>
      </c>
      <c r="W43" s="28">
        <f t="shared" si="5"/>
        <v>0</v>
      </c>
      <c r="X43" s="28">
        <f t="shared" si="6"/>
        <v>4074.8136814114955</v>
      </c>
      <c r="Y43" s="28">
        <f t="shared" si="1"/>
        <v>1923.3120576262259</v>
      </c>
      <c r="Z43" s="29">
        <v>0</v>
      </c>
      <c r="AA43" s="27">
        <f t="shared" si="17"/>
        <v>2151.5016237852697</v>
      </c>
      <c r="AB43" s="27">
        <f t="shared" si="7"/>
        <v>0</v>
      </c>
      <c r="AC43" s="30">
        <f t="shared" si="18"/>
        <v>5.3787540594631741E-2</v>
      </c>
      <c r="AD43" s="31">
        <f t="shared" si="2"/>
        <v>2151.5016237852697</v>
      </c>
      <c r="AE43" s="32">
        <f t="shared" si="19"/>
        <v>179.2918019821058</v>
      </c>
      <c r="AF43" s="33">
        <f>AF42+AD43</f>
        <v>4382.9397059054081</v>
      </c>
      <c r="AG43" s="3">
        <f t="shared" ca="1" si="20"/>
        <v>52723</v>
      </c>
      <c r="AH43" s="34">
        <f>IF(AH42=0,0,IF((AH42=$AJ$4),0,IF($J43=$B$28+1,$AJ$4,AD43)))</f>
        <v>0</v>
      </c>
      <c r="AI43" s="35">
        <f t="shared" si="8"/>
        <v>2830.5498907867063</v>
      </c>
      <c r="AJ43" s="35">
        <f t="shared" si="21"/>
        <v>110391.44574068148</v>
      </c>
    </row>
    <row r="44" spans="1:36">
      <c r="J44" s="26">
        <f t="shared" si="23"/>
        <v>40</v>
      </c>
      <c r="K44" s="27">
        <f t="shared" si="10"/>
        <v>0</v>
      </c>
      <c r="L44" s="28">
        <f t="shared" si="22"/>
        <v>4156.3099550397255</v>
      </c>
      <c r="M44" s="28">
        <f t="shared" si="0"/>
        <v>0</v>
      </c>
      <c r="N44" s="28">
        <f t="shared" si="3"/>
        <v>0</v>
      </c>
      <c r="O44" s="28">
        <f t="shared" si="11"/>
        <v>0</v>
      </c>
      <c r="P44" s="28">
        <f t="shared" si="12"/>
        <v>0</v>
      </c>
      <c r="Q44" s="28">
        <v>0</v>
      </c>
      <c r="R44" s="28">
        <f t="shared" si="13"/>
        <v>0</v>
      </c>
      <c r="S44" s="28">
        <f t="shared" si="14"/>
        <v>4156.3099550397255</v>
      </c>
      <c r="T44" s="28">
        <f t="shared" si="15"/>
        <v>0</v>
      </c>
      <c r="U44" s="28">
        <f t="shared" si="16"/>
        <v>0</v>
      </c>
      <c r="V44" s="28">
        <f t="shared" si="4"/>
        <v>0</v>
      </c>
      <c r="W44" s="28">
        <f t="shared" si="5"/>
        <v>0</v>
      </c>
      <c r="X44" s="28">
        <f t="shared" si="6"/>
        <v>4156.3099550397255</v>
      </c>
      <c r="Y44" s="28">
        <f t="shared" si="1"/>
        <v>1961.7782987787502</v>
      </c>
      <c r="Z44" s="29">
        <v>0</v>
      </c>
      <c r="AA44" s="27">
        <f t="shared" si="17"/>
        <v>2194.5316562609751</v>
      </c>
      <c r="AB44" s="27">
        <f t="shared" si="7"/>
        <v>0</v>
      </c>
      <c r="AC44" s="30">
        <f t="shared" si="18"/>
        <v>5.4863291406524378E-2</v>
      </c>
      <c r="AD44" s="31">
        <f t="shared" si="2"/>
        <v>2194.5316562609751</v>
      </c>
      <c r="AE44" s="32">
        <f t="shared" si="19"/>
        <v>182.87763802174791</v>
      </c>
      <c r="AF44" s="33">
        <f>AF43+AD44</f>
        <v>6577.4713621663832</v>
      </c>
      <c r="AG44" s="3">
        <f t="shared" ca="1" si="20"/>
        <v>52723</v>
      </c>
      <c r="AH44" s="34">
        <f>IF(AH43=0,0,IF((AH43=$AJ$4),0,IF($J44=$B$28+1,$AJ$4,AD44)))</f>
        <v>0</v>
      </c>
      <c r="AI44" s="35">
        <f t="shared" si="8"/>
        <v>2830.5498907867063</v>
      </c>
      <c r="AJ44" s="35">
        <f t="shared" si="21"/>
        <v>113221.99563146818</v>
      </c>
    </row>
    <row r="45" spans="1:36">
      <c r="J45" s="26">
        <f t="shared" si="23"/>
        <v>41</v>
      </c>
      <c r="K45" s="27">
        <f t="shared" si="10"/>
        <v>0</v>
      </c>
      <c r="L45" s="28">
        <f t="shared" si="22"/>
        <v>4239.4361541405206</v>
      </c>
      <c r="M45" s="28">
        <f t="shared" si="0"/>
        <v>0</v>
      </c>
      <c r="N45" s="28">
        <f t="shared" si="3"/>
        <v>0</v>
      </c>
      <c r="O45" s="28">
        <f t="shared" si="11"/>
        <v>0</v>
      </c>
      <c r="P45" s="28">
        <f t="shared" si="12"/>
        <v>0</v>
      </c>
      <c r="Q45" s="28">
        <v>0</v>
      </c>
      <c r="R45" s="28">
        <f t="shared" si="13"/>
        <v>0</v>
      </c>
      <c r="S45" s="28">
        <f t="shared" si="14"/>
        <v>4239.4361541405206</v>
      </c>
      <c r="T45" s="28">
        <f t="shared" si="15"/>
        <v>0</v>
      </c>
      <c r="U45" s="28">
        <f t="shared" si="16"/>
        <v>0</v>
      </c>
      <c r="V45" s="28">
        <f t="shared" si="4"/>
        <v>0</v>
      </c>
      <c r="W45" s="28">
        <f t="shared" si="5"/>
        <v>0</v>
      </c>
      <c r="X45" s="28">
        <f t="shared" si="6"/>
        <v>4239.4361541405206</v>
      </c>
      <c r="Y45" s="28">
        <f t="shared" si="1"/>
        <v>2001.0138647543256</v>
      </c>
      <c r="Z45" s="29">
        <v>0</v>
      </c>
      <c r="AA45" s="27">
        <f t="shared" si="17"/>
        <v>2238.4222893861952</v>
      </c>
      <c r="AB45" s="27">
        <f t="shared" si="7"/>
        <v>0</v>
      </c>
      <c r="AC45" s="30">
        <f t="shared" si="18"/>
        <v>5.596055723465488E-2</v>
      </c>
      <c r="AD45" s="31">
        <f t="shared" si="2"/>
        <v>2238.4222893861952</v>
      </c>
      <c r="AE45" s="32">
        <f t="shared" si="19"/>
        <v>186.53519078218292</v>
      </c>
      <c r="AF45" s="33">
        <f>AF44+AD45</f>
        <v>8815.8936515525784</v>
      </c>
      <c r="AG45" s="3">
        <f t="shared" ca="1" si="20"/>
        <v>52723</v>
      </c>
      <c r="AH45" s="34">
        <f>IF(AH44=0,0,IF((AH44=$AJ$4),0,IF($J45=$B$28+1,$AJ$4,AD45)))</f>
        <v>0</v>
      </c>
      <c r="AI45" s="35">
        <f t="shared" si="8"/>
        <v>2830.5498907867063</v>
      </c>
      <c r="AJ45" s="35">
        <f t="shared" si="21"/>
        <v>116052.54552225488</v>
      </c>
    </row>
    <row r="46" spans="1:36">
      <c r="J46" s="26">
        <f t="shared" si="23"/>
        <v>42</v>
      </c>
      <c r="K46" s="27">
        <f t="shared" si="10"/>
        <v>0</v>
      </c>
      <c r="L46" s="28">
        <f t="shared" si="22"/>
        <v>4324.2248772233306</v>
      </c>
      <c r="M46" s="28">
        <f t="shared" si="0"/>
        <v>0</v>
      </c>
      <c r="N46" s="28">
        <f t="shared" si="3"/>
        <v>0</v>
      </c>
      <c r="O46" s="28">
        <f t="shared" si="11"/>
        <v>0</v>
      </c>
      <c r="P46" s="28">
        <f t="shared" si="12"/>
        <v>0</v>
      </c>
      <c r="Q46" s="28">
        <v>0</v>
      </c>
      <c r="R46" s="28">
        <f t="shared" si="13"/>
        <v>0</v>
      </c>
      <c r="S46" s="28">
        <f t="shared" si="14"/>
        <v>4324.2248772233306</v>
      </c>
      <c r="T46" s="28">
        <f t="shared" si="15"/>
        <v>0</v>
      </c>
      <c r="U46" s="28">
        <f t="shared" si="16"/>
        <v>0</v>
      </c>
      <c r="V46" s="28">
        <f t="shared" si="4"/>
        <v>0</v>
      </c>
      <c r="W46" s="28">
        <f t="shared" si="5"/>
        <v>0</v>
      </c>
      <c r="X46" s="28">
        <f t="shared" si="6"/>
        <v>4324.2248772233306</v>
      </c>
      <c r="Y46" s="28">
        <f t="shared" si="1"/>
        <v>2041.0341420494119</v>
      </c>
      <c r="Z46" s="29">
        <v>0</v>
      </c>
      <c r="AA46" s="27">
        <f t="shared" si="17"/>
        <v>2283.1907351739187</v>
      </c>
      <c r="AB46" s="27">
        <f t="shared" si="7"/>
        <v>0</v>
      </c>
      <c r="AC46" s="30">
        <f t="shared" si="18"/>
        <v>5.7079768379347966E-2</v>
      </c>
      <c r="AD46" s="31">
        <f t="shared" si="2"/>
        <v>2283.1907351739187</v>
      </c>
      <c r="AE46" s="32">
        <f t="shared" si="19"/>
        <v>190.26589459782656</v>
      </c>
      <c r="AF46" s="33">
        <f>AF45+AD46</f>
        <v>11099.084386726498</v>
      </c>
      <c r="AG46" s="3">
        <f t="shared" ca="1" si="20"/>
        <v>52723</v>
      </c>
      <c r="AH46" s="34">
        <f>IF(AH45=0,0,IF((AH45=$AJ$4),0,IF($J46=$B$28+1,$AJ$4,AD46)))</f>
        <v>0</v>
      </c>
      <c r="AI46" s="35">
        <f t="shared" si="8"/>
        <v>2830.5498907867063</v>
      </c>
      <c r="AJ46" s="35">
        <f t="shared" si="21"/>
        <v>118883.09541304158</v>
      </c>
    </row>
    <row r="47" spans="1:36">
      <c r="J47" s="26">
        <f t="shared" si="23"/>
        <v>43</v>
      </c>
      <c r="K47" s="27">
        <f t="shared" si="10"/>
        <v>0</v>
      </c>
      <c r="L47" s="28">
        <f t="shared" si="22"/>
        <v>4410.7093747677973</v>
      </c>
      <c r="M47" s="28">
        <f t="shared" si="0"/>
        <v>0</v>
      </c>
      <c r="N47" s="28">
        <f t="shared" si="3"/>
        <v>0</v>
      </c>
      <c r="O47" s="28">
        <f t="shared" si="11"/>
        <v>0</v>
      </c>
      <c r="P47" s="28">
        <f t="shared" si="12"/>
        <v>0</v>
      </c>
      <c r="Q47" s="28">
        <v>0</v>
      </c>
      <c r="R47" s="28">
        <f t="shared" si="13"/>
        <v>0</v>
      </c>
      <c r="S47" s="28">
        <f t="shared" si="14"/>
        <v>4410.7093747677973</v>
      </c>
      <c r="T47" s="28">
        <f t="shared" si="15"/>
        <v>0</v>
      </c>
      <c r="U47" s="28">
        <f t="shared" si="16"/>
        <v>0</v>
      </c>
      <c r="V47" s="28">
        <f t="shared" si="4"/>
        <v>0</v>
      </c>
      <c r="W47" s="28">
        <f t="shared" si="5"/>
        <v>0</v>
      </c>
      <c r="X47" s="28">
        <f t="shared" si="6"/>
        <v>4410.7093747677973</v>
      </c>
      <c r="Y47" s="28">
        <f t="shared" si="1"/>
        <v>2081.8548248904003</v>
      </c>
      <c r="Z47" s="29">
        <v>0</v>
      </c>
      <c r="AA47" s="27">
        <f t="shared" si="17"/>
        <v>2328.8545498773969</v>
      </c>
      <c r="AB47" s="27">
        <f t="shared" si="7"/>
        <v>0</v>
      </c>
      <c r="AC47" s="30">
        <f t="shared" si="18"/>
        <v>5.8221363746934922E-2</v>
      </c>
      <c r="AD47" s="31">
        <f t="shared" si="2"/>
        <v>2328.8545498773969</v>
      </c>
      <c r="AE47" s="32">
        <f t="shared" si="19"/>
        <v>194.07121248978308</v>
      </c>
      <c r="AF47" s="33">
        <f>AF46+AD47</f>
        <v>13427.938936603894</v>
      </c>
      <c r="AG47" s="3">
        <f t="shared" ca="1" si="20"/>
        <v>52723</v>
      </c>
      <c r="AH47" s="34">
        <f>IF(AH46=0,0,IF((AH46=$AJ$4),0,IF($J47=$B$28+1,$AJ$4,AD47)))</f>
        <v>0</v>
      </c>
      <c r="AI47" s="35">
        <f t="shared" si="8"/>
        <v>2830.5498907867063</v>
      </c>
      <c r="AJ47" s="35">
        <f t="shared" si="21"/>
        <v>121713.64530382828</v>
      </c>
    </row>
    <row r="48" spans="1:36">
      <c r="J48" s="26">
        <f t="shared" si="23"/>
        <v>44</v>
      </c>
      <c r="K48" s="27">
        <f t="shared" si="10"/>
        <v>0</v>
      </c>
      <c r="L48" s="28">
        <f t="shared" si="22"/>
        <v>4498.9235622631531</v>
      </c>
      <c r="M48" s="28">
        <f t="shared" si="0"/>
        <v>0</v>
      </c>
      <c r="N48" s="28">
        <f t="shared" si="3"/>
        <v>0</v>
      </c>
      <c r="O48" s="28">
        <f t="shared" si="11"/>
        <v>0</v>
      </c>
      <c r="P48" s="28">
        <f t="shared" si="12"/>
        <v>0</v>
      </c>
      <c r="Q48" s="28">
        <v>0</v>
      </c>
      <c r="R48" s="28">
        <f t="shared" si="13"/>
        <v>0</v>
      </c>
      <c r="S48" s="28">
        <f t="shared" si="14"/>
        <v>4498.9235622631531</v>
      </c>
      <c r="T48" s="28">
        <f t="shared" si="15"/>
        <v>0</v>
      </c>
      <c r="U48" s="28">
        <f t="shared" si="16"/>
        <v>0</v>
      </c>
      <c r="V48" s="28">
        <f t="shared" si="4"/>
        <v>0</v>
      </c>
      <c r="W48" s="28">
        <f t="shared" si="5"/>
        <v>0</v>
      </c>
      <c r="X48" s="28">
        <f t="shared" si="6"/>
        <v>4498.9235622631531</v>
      </c>
      <c r="Y48" s="28">
        <f t="shared" si="1"/>
        <v>2123.4919213882081</v>
      </c>
      <c r="Z48" s="29">
        <v>0</v>
      </c>
      <c r="AA48" s="27">
        <f t="shared" si="17"/>
        <v>2375.4316408749451</v>
      </c>
      <c r="AB48" s="27">
        <f t="shared" si="7"/>
        <v>0</v>
      </c>
      <c r="AC48" s="30">
        <f t="shared" si="18"/>
        <v>5.9385791021873628E-2</v>
      </c>
      <c r="AD48" s="31">
        <f t="shared" si="2"/>
        <v>2375.4316408749451</v>
      </c>
      <c r="AE48" s="32">
        <f t="shared" si="19"/>
        <v>197.95263673957876</v>
      </c>
      <c r="AF48" s="33">
        <f>AF47+AD48</f>
        <v>15803.37057747884</v>
      </c>
      <c r="AG48" s="3">
        <f t="shared" ca="1" si="20"/>
        <v>52723</v>
      </c>
      <c r="AH48" s="34">
        <f>IF(AH47=0,0,IF((AH47=$AJ$4),0,IF($J48=$B$28+1,$AJ$4,AD48)))</f>
        <v>0</v>
      </c>
      <c r="AI48" s="35">
        <f t="shared" si="8"/>
        <v>2830.5498907867063</v>
      </c>
      <c r="AJ48" s="35">
        <f t="shared" si="21"/>
        <v>124544.19519461498</v>
      </c>
    </row>
    <row r="49" spans="10:36">
      <c r="J49" s="26">
        <f t="shared" si="23"/>
        <v>45</v>
      </c>
      <c r="K49" s="27">
        <f t="shared" si="10"/>
        <v>0</v>
      </c>
      <c r="L49" s="28">
        <f t="shared" si="22"/>
        <v>4588.902033508416</v>
      </c>
      <c r="M49" s="28">
        <f t="shared" si="0"/>
        <v>0</v>
      </c>
      <c r="N49" s="28">
        <f t="shared" si="3"/>
        <v>0</v>
      </c>
      <c r="O49" s="28">
        <f t="shared" si="11"/>
        <v>0</v>
      </c>
      <c r="P49" s="28">
        <f t="shared" si="12"/>
        <v>0</v>
      </c>
      <c r="Q49" s="28">
        <v>0</v>
      </c>
      <c r="R49" s="28">
        <f t="shared" si="13"/>
        <v>0</v>
      </c>
      <c r="S49" s="28">
        <f t="shared" si="14"/>
        <v>4588.902033508416</v>
      </c>
      <c r="T49" s="28">
        <f t="shared" si="15"/>
        <v>0</v>
      </c>
      <c r="U49" s="28">
        <f t="shared" si="16"/>
        <v>0</v>
      </c>
      <c r="V49" s="28">
        <f t="shared" si="4"/>
        <v>0</v>
      </c>
      <c r="W49" s="28">
        <f t="shared" si="5"/>
        <v>0</v>
      </c>
      <c r="X49" s="28">
        <f t="shared" si="6"/>
        <v>4588.902033508416</v>
      </c>
      <c r="Y49" s="28">
        <f t="shared" si="1"/>
        <v>2165.9617598159721</v>
      </c>
      <c r="Z49" s="29">
        <v>0</v>
      </c>
      <c r="AA49" s="27">
        <f t="shared" si="17"/>
        <v>2422.940273692444</v>
      </c>
      <c r="AB49" s="27">
        <f t="shared" si="7"/>
        <v>0</v>
      </c>
      <c r="AC49" s="30">
        <f t="shared" si="18"/>
        <v>6.0573506842311102E-2</v>
      </c>
      <c r="AD49" s="31">
        <f t="shared" si="2"/>
        <v>2422.940273692444</v>
      </c>
      <c r="AE49" s="32">
        <f t="shared" si="19"/>
        <v>201.91168947437032</v>
      </c>
      <c r="AF49" s="33">
        <f>AF48+AD49</f>
        <v>18226.310851171285</v>
      </c>
      <c r="AG49" s="3">
        <f t="shared" ca="1" si="20"/>
        <v>52723</v>
      </c>
      <c r="AH49" s="34">
        <f>IF(AH48=0,0,IF((AH48=$AJ$4),0,IF($J49=$B$28+1,$AJ$4,AD49)))</f>
        <v>0</v>
      </c>
      <c r="AI49" s="35">
        <f t="shared" si="8"/>
        <v>2830.5498907867063</v>
      </c>
      <c r="AJ49" s="35">
        <f t="shared" si="21"/>
        <v>127374.74508540168</v>
      </c>
    </row>
    <row r="50" spans="10:36">
      <c r="J50" s="26">
        <f t="shared" si="23"/>
        <v>46</v>
      </c>
      <c r="K50" s="27">
        <f t="shared" si="10"/>
        <v>0</v>
      </c>
      <c r="L50" s="28">
        <f t="shared" si="22"/>
        <v>4680.6800741785846</v>
      </c>
      <c r="M50" s="28">
        <f t="shared" si="0"/>
        <v>0</v>
      </c>
      <c r="N50" s="28">
        <f t="shared" si="3"/>
        <v>0</v>
      </c>
      <c r="O50" s="28">
        <f t="shared" si="11"/>
        <v>0</v>
      </c>
      <c r="P50" s="28">
        <f t="shared" si="12"/>
        <v>0</v>
      </c>
      <c r="Q50" s="28">
        <v>0</v>
      </c>
      <c r="R50" s="28">
        <f t="shared" si="13"/>
        <v>0</v>
      </c>
      <c r="S50" s="28">
        <f t="shared" si="14"/>
        <v>4680.6800741785846</v>
      </c>
      <c r="T50" s="28">
        <f t="shared" si="15"/>
        <v>0</v>
      </c>
      <c r="U50" s="28">
        <f t="shared" si="16"/>
        <v>0</v>
      </c>
      <c r="V50" s="28">
        <f t="shared" si="4"/>
        <v>0</v>
      </c>
      <c r="W50" s="28">
        <f t="shared" si="5"/>
        <v>0</v>
      </c>
      <c r="X50" s="28">
        <f t="shared" si="6"/>
        <v>4680.6800741785846</v>
      </c>
      <c r="Y50" s="28">
        <f t="shared" si="1"/>
        <v>2209.2809950122919</v>
      </c>
      <c r="Z50" s="29">
        <v>0</v>
      </c>
      <c r="AA50" s="27">
        <f t="shared" si="17"/>
        <v>2471.3990791662927</v>
      </c>
      <c r="AB50" s="27">
        <f t="shared" si="7"/>
        <v>0</v>
      </c>
      <c r="AC50" s="30">
        <f t="shared" si="18"/>
        <v>6.1784976979157316E-2</v>
      </c>
      <c r="AD50" s="31">
        <f t="shared" si="2"/>
        <v>2471.3990791662927</v>
      </c>
      <c r="AE50" s="32">
        <f t="shared" si="19"/>
        <v>205.94992326385773</v>
      </c>
      <c r="AF50" s="33">
        <f>AF49+AD50</f>
        <v>20697.70993033758</v>
      </c>
      <c r="AG50" s="3">
        <f t="shared" ca="1" si="20"/>
        <v>52723</v>
      </c>
      <c r="AH50" s="34">
        <f>IF(AH49=0,0,IF((AH49=$AJ$4),0,IF($J50=$B$28+1,$AJ$4,AD50)))</f>
        <v>0</v>
      </c>
      <c r="AI50" s="35">
        <f t="shared" si="8"/>
        <v>2830.5498907867063</v>
      </c>
      <c r="AJ50" s="35">
        <f t="shared" si="21"/>
        <v>130205.29497618838</v>
      </c>
    </row>
    <row r="51" spans="10:36">
      <c r="J51" s="26">
        <f t="shared" si="23"/>
        <v>47</v>
      </c>
      <c r="K51" s="27">
        <f t="shared" si="10"/>
        <v>0</v>
      </c>
      <c r="L51" s="28">
        <f t="shared" si="22"/>
        <v>4774.2936756621566</v>
      </c>
      <c r="M51" s="28">
        <f t="shared" si="0"/>
        <v>0</v>
      </c>
      <c r="N51" s="28">
        <f t="shared" si="3"/>
        <v>0</v>
      </c>
      <c r="O51" s="28">
        <f t="shared" si="11"/>
        <v>0</v>
      </c>
      <c r="P51" s="28">
        <f t="shared" si="12"/>
        <v>0</v>
      </c>
      <c r="Q51" s="28">
        <v>0</v>
      </c>
      <c r="R51" s="28">
        <f t="shared" si="13"/>
        <v>0</v>
      </c>
      <c r="S51" s="28">
        <f t="shared" si="14"/>
        <v>4774.2936756621566</v>
      </c>
      <c r="T51" s="28">
        <f t="shared" si="15"/>
        <v>0</v>
      </c>
      <c r="U51" s="28">
        <f t="shared" si="16"/>
        <v>0</v>
      </c>
      <c r="V51" s="28">
        <f t="shared" si="4"/>
        <v>0</v>
      </c>
      <c r="W51" s="28">
        <f t="shared" si="5"/>
        <v>0</v>
      </c>
      <c r="X51" s="28">
        <f t="shared" si="6"/>
        <v>4774.2936756621566</v>
      </c>
      <c r="Y51" s="28">
        <f t="shared" si="1"/>
        <v>2253.4666149125378</v>
      </c>
      <c r="Z51" s="29">
        <v>0</v>
      </c>
      <c r="AA51" s="27">
        <f t="shared" si="17"/>
        <v>2520.8270607496188</v>
      </c>
      <c r="AB51" s="27">
        <f t="shared" si="7"/>
        <v>0</v>
      </c>
      <c r="AC51" s="30">
        <f t="shared" si="18"/>
        <v>6.3020676518740465E-2</v>
      </c>
      <c r="AD51" s="31">
        <f t="shared" si="2"/>
        <v>2520.8270607496188</v>
      </c>
      <c r="AE51" s="32">
        <f t="shared" si="19"/>
        <v>210.0689217291349</v>
      </c>
      <c r="AF51" s="33">
        <f>AF50+AD51</f>
        <v>23218.5369910872</v>
      </c>
      <c r="AG51" s="3">
        <f t="shared" ca="1" si="20"/>
        <v>52723</v>
      </c>
      <c r="AH51" s="34">
        <f>IF(AH50=0,0,IF((AH50=$AJ$4),0,IF($J51=$B$28+1,$AJ$4,AD51)))</f>
        <v>0</v>
      </c>
      <c r="AI51" s="35">
        <f t="shared" si="8"/>
        <v>2830.5498907867063</v>
      </c>
      <c r="AJ51" s="35">
        <f t="shared" si="21"/>
        <v>133035.84486697509</v>
      </c>
    </row>
    <row r="52" spans="10:36">
      <c r="J52" s="26">
        <f t="shared" si="23"/>
        <v>48</v>
      </c>
      <c r="K52" s="27">
        <f t="shared" si="10"/>
        <v>0</v>
      </c>
      <c r="L52" s="28">
        <f t="shared" si="22"/>
        <v>4869.7795491753996</v>
      </c>
      <c r="M52" s="28">
        <f t="shared" si="0"/>
        <v>0</v>
      </c>
      <c r="N52" s="28">
        <f t="shared" si="3"/>
        <v>0</v>
      </c>
      <c r="O52" s="28">
        <f t="shared" si="11"/>
        <v>0</v>
      </c>
      <c r="P52" s="28">
        <f t="shared" si="12"/>
        <v>0</v>
      </c>
      <c r="Q52" s="28">
        <v>0</v>
      </c>
      <c r="R52" s="28">
        <f t="shared" si="13"/>
        <v>0</v>
      </c>
      <c r="S52" s="28">
        <f t="shared" si="14"/>
        <v>4869.7795491753996</v>
      </c>
      <c r="T52" s="28">
        <f t="shared" si="15"/>
        <v>0</v>
      </c>
      <c r="U52" s="28">
        <f t="shared" si="16"/>
        <v>0</v>
      </c>
      <c r="V52" s="28">
        <f t="shared" si="4"/>
        <v>0</v>
      </c>
      <c r="W52" s="28">
        <f t="shared" si="5"/>
        <v>0</v>
      </c>
      <c r="X52" s="28">
        <f t="shared" si="6"/>
        <v>4869.7795491753996</v>
      </c>
      <c r="Y52" s="28">
        <f t="shared" si="1"/>
        <v>2298.5359472107884</v>
      </c>
      <c r="Z52" s="29">
        <v>0</v>
      </c>
      <c r="AA52" s="27">
        <f t="shared" si="17"/>
        <v>2571.2436019646111</v>
      </c>
      <c r="AB52" s="27">
        <f t="shared" si="7"/>
        <v>0</v>
      </c>
      <c r="AC52" s="30">
        <f t="shared" si="18"/>
        <v>6.428109004911528E-2</v>
      </c>
      <c r="AD52" s="31">
        <f t="shared" si="2"/>
        <v>2571.2436019646111</v>
      </c>
      <c r="AE52" s="32">
        <f t="shared" si="19"/>
        <v>214.27030016371759</v>
      </c>
      <c r="AF52" s="33">
        <f>AF51+AD52</f>
        <v>25789.780593051812</v>
      </c>
      <c r="AG52" s="3">
        <f t="shared" ca="1" si="20"/>
        <v>52723</v>
      </c>
      <c r="AH52" s="34">
        <f>IF(AH51=0,0,IF((AH51=$AJ$4),0,IF($J52=$B$28+1,$AJ$4,AD52)))</f>
        <v>0</v>
      </c>
      <c r="AI52" s="35">
        <f t="shared" si="8"/>
        <v>2830.5498907867063</v>
      </c>
      <c r="AJ52" s="35">
        <f t="shared" si="21"/>
        <v>135866.39475776179</v>
      </c>
    </row>
    <row r="53" spans="10:36">
      <c r="J53" s="26">
        <f t="shared" si="23"/>
        <v>49</v>
      </c>
      <c r="K53" s="27">
        <f t="shared" si="10"/>
        <v>0</v>
      </c>
      <c r="L53" s="28">
        <f t="shared" si="22"/>
        <v>4967.1751401589072</v>
      </c>
      <c r="M53" s="28">
        <f t="shared" si="0"/>
        <v>0</v>
      </c>
      <c r="N53" s="28">
        <f t="shared" si="3"/>
        <v>0</v>
      </c>
      <c r="O53" s="28">
        <f t="shared" si="11"/>
        <v>0</v>
      </c>
      <c r="P53" s="28">
        <f t="shared" si="12"/>
        <v>0</v>
      </c>
      <c r="Q53" s="28">
        <v>0</v>
      </c>
      <c r="R53" s="28">
        <f t="shared" si="13"/>
        <v>0</v>
      </c>
      <c r="S53" s="28">
        <f t="shared" si="14"/>
        <v>4967.1751401589072</v>
      </c>
      <c r="T53" s="28">
        <f t="shared" si="15"/>
        <v>0</v>
      </c>
      <c r="U53" s="28">
        <f t="shared" si="16"/>
        <v>0</v>
      </c>
      <c r="V53" s="28">
        <f t="shared" si="4"/>
        <v>0</v>
      </c>
      <c r="W53" s="28">
        <f t="shared" si="5"/>
        <v>0</v>
      </c>
      <c r="X53" s="28">
        <f t="shared" si="6"/>
        <v>4967.1751401589072</v>
      </c>
      <c r="Y53" s="28">
        <f t="shared" si="1"/>
        <v>2344.506666155004</v>
      </c>
      <c r="Z53" s="29">
        <v>0</v>
      </c>
      <c r="AA53" s="27">
        <f t="shared" si="17"/>
        <v>2622.6684740039032</v>
      </c>
      <c r="AB53" s="27">
        <f t="shared" si="7"/>
        <v>0</v>
      </c>
      <c r="AC53" s="30">
        <f t="shared" si="18"/>
        <v>6.5566711850097575E-2</v>
      </c>
      <c r="AD53" s="31">
        <f t="shared" si="2"/>
        <v>2622.6684740039032</v>
      </c>
      <c r="AE53" s="32">
        <f t="shared" si="19"/>
        <v>218.55570616699194</v>
      </c>
      <c r="AF53" s="33">
        <f>AF52+AD53</f>
        <v>28412.449067055713</v>
      </c>
      <c r="AG53" s="3">
        <f t="shared" ca="1" si="20"/>
        <v>52723</v>
      </c>
      <c r="AH53" s="34">
        <f>IF(AH52=0,0,IF((AH52=$AJ$4),0,IF($J53=$B$28+1,$AJ$4,AD53)))</f>
        <v>0</v>
      </c>
      <c r="AI53" s="35">
        <f t="shared" si="8"/>
        <v>2830.5498907867063</v>
      </c>
      <c r="AJ53" s="35">
        <f t="shared" si="21"/>
        <v>138696.9446485485</v>
      </c>
    </row>
    <row r="54" spans="10:36">
      <c r="J54" s="26">
        <f t="shared" si="23"/>
        <v>50</v>
      </c>
      <c r="K54" s="27">
        <f t="shared" si="10"/>
        <v>0</v>
      </c>
      <c r="L54" s="28">
        <f t="shared" si="22"/>
        <v>5066.5186429620853</v>
      </c>
      <c r="M54" s="28">
        <f t="shared" si="0"/>
        <v>0</v>
      </c>
      <c r="N54" s="28">
        <f t="shared" si="3"/>
        <v>0</v>
      </c>
      <c r="O54" s="28">
        <f t="shared" si="11"/>
        <v>0</v>
      </c>
      <c r="P54" s="28">
        <f t="shared" si="12"/>
        <v>0</v>
      </c>
      <c r="Q54" s="28">
        <v>0</v>
      </c>
      <c r="R54" s="28">
        <f t="shared" si="13"/>
        <v>0</v>
      </c>
      <c r="S54" s="28">
        <f t="shared" si="14"/>
        <v>5066.5186429620853</v>
      </c>
      <c r="T54" s="28">
        <f t="shared" si="15"/>
        <v>0</v>
      </c>
      <c r="U54" s="28">
        <f t="shared" si="16"/>
        <v>0</v>
      </c>
      <c r="V54" s="28">
        <f t="shared" si="4"/>
        <v>0</v>
      </c>
      <c r="W54" s="28">
        <f t="shared" si="5"/>
        <v>0</v>
      </c>
      <c r="X54" s="28">
        <f t="shared" si="6"/>
        <v>5066.5186429620853</v>
      </c>
      <c r="Y54" s="28">
        <f t="shared" si="1"/>
        <v>2391.3967994781042</v>
      </c>
      <c r="Z54" s="29">
        <v>0</v>
      </c>
      <c r="AA54" s="27">
        <f t="shared" si="17"/>
        <v>2675.1218434839811</v>
      </c>
      <c r="AB54" s="27">
        <f t="shared" si="7"/>
        <v>0</v>
      </c>
      <c r="AC54" s="30">
        <f t="shared" si="18"/>
        <v>6.6878046087099532E-2</v>
      </c>
      <c r="AD54" s="31">
        <f t="shared" si="2"/>
        <v>2675.1218434839811</v>
      </c>
      <c r="AE54" s="32">
        <f t="shared" si="19"/>
        <v>222.92682029033176</v>
      </c>
      <c r="AF54" s="33">
        <f>AF53+AD54</f>
        <v>31087.570910539696</v>
      </c>
      <c r="AG54" s="3">
        <f t="shared" ca="1" si="20"/>
        <v>52723</v>
      </c>
      <c r="AH54" s="34">
        <f>IF(AH53=0,0,IF((AH53=$AJ$4),0,IF($J54=$B$28+1,$AJ$4,AD54)))</f>
        <v>0</v>
      </c>
      <c r="AI54" s="35">
        <f t="shared" si="8"/>
        <v>2830.5498907867063</v>
      </c>
      <c r="AJ54" s="35">
        <f t="shared" si="21"/>
        <v>141527.4945393352</v>
      </c>
    </row>
  </sheetData>
  <sheetProtection selectLockedCells="1"/>
  <mergeCells count="10">
    <mergeCell ref="A13:B13"/>
    <mergeCell ref="A20:B20"/>
    <mergeCell ref="A25:B25"/>
    <mergeCell ref="A1:I1"/>
    <mergeCell ref="J1:AE1"/>
    <mergeCell ref="J2:AE2"/>
    <mergeCell ref="A3:B3"/>
    <mergeCell ref="J3:AE3"/>
    <mergeCell ref="A5:A6"/>
    <mergeCell ref="B5:B6"/>
  </mergeCells>
  <conditionalFormatting sqref="J5:J38">
    <cfRule type="cellIs" dxfId="0" priority="1" operator="equal">
      <formula>$B$28</formula>
    </cfRule>
  </conditionalFormatting>
  <printOptions horizontalCentered="1" verticalCentered="1"/>
  <pageMargins left="0.70866141732283472" right="0.70866141732283472" top="0.15748031496062992" bottom="0.15748031496062992" header="0.11811023622047245" footer="0.11811023622047245"/>
  <pageSetup paperSize="9" scale="92" orientation="landscape" r:id="rId1"/>
  <headerFooter>
    <oddHeader>&amp;C&amp;"Baskerville Old Face,Gras"&amp;18Votre investissement en SCPI</oddHeader>
    <oddFooter>&amp;L&amp;"Baskerville Old Face,Gras"Votre conseiller : Sylvie COUTANCEAU&amp;R&amp;"Baskerville Old Face,Gras"&amp;D</oddFooter>
  </headerFooter>
  <colBreaks count="2" manualBreakCount="2">
    <brk id="9" max="1048575" man="1"/>
    <brk id="31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E508-E907-43B1-9304-D5B50F202DF8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SCPI avec pret</vt:lpstr>
      <vt:lpstr>Feuil1</vt:lpstr>
      <vt:lpstr>'SCPI avec pret'!Impression_des_titres</vt:lpstr>
      <vt:lpstr>'SCPI avec pret'!Zone_d_impression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Capucine Gest</dc:creator>
  <cp:lastModifiedBy>Capucine Gest</cp:lastModifiedBy>
  <dcterms:created xsi:type="dcterms:W3CDTF">2026-05-06T21:12:21Z</dcterms:created>
  <dcterms:modified xsi:type="dcterms:W3CDTF">2026-05-06T21:12:45Z</dcterms:modified>
</cp:coreProperties>
</file>